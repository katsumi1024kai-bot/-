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分類一覧" sheetId="1" state="visible" r:id="rId3"/>
    <sheet name="週次運用スケジュール" sheetId="2" state="visible" r:id="rId4"/>
    <sheet name="改善ロードマップ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<sst xmlns="http://schemas.openxmlformats.org/spreadsheetml/2006/main" count="167" uniqueCount="89">
  <si>
    <t xml:space="preserve">倉庫業務 改善スケジューリング計画</t>
  </si>
  <si>
    <r>
      <rPr>
        <i val="true"/>
        <sz val="9"/>
        <color rgb="FF808080"/>
        <rFont val="WenQuanYi Zen Hei"/>
        <family val="2"/>
      </rPr>
      <t xml:space="preserve">作成日</t>
    </r>
    <r>
      <rPr>
        <i val="true"/>
        <sz val="9"/>
        <color rgb="FF808080"/>
        <rFont val="Arial"/>
        <family val="0"/>
        <charset val="1"/>
      </rPr>
      <t xml:space="preserve">: 2026-08-03</t>
    </r>
    <r>
      <rPr>
        <i val="true"/>
        <sz val="9"/>
        <color rgb="FF808080"/>
        <rFont val="WenQuanYi Zen Hei"/>
        <family val="2"/>
      </rPr>
      <t xml:space="preserve">　優先度別に「必須／推奨／理想」で整理し、実行スケジュールに落とし込む</t>
    </r>
  </si>
  <si>
    <t xml:space="preserve">優先度</t>
  </si>
  <si>
    <t xml:space="preserve">業務項目</t>
  </si>
  <si>
    <t xml:space="preserve">位置づけ・目的</t>
  </si>
  <si>
    <t xml:space="preserve">スケジュール参照シート</t>
  </si>
  <si>
    <t xml:space="preserve">必須</t>
  </si>
  <si>
    <t xml:space="preserve">受け入れ</t>
  </si>
  <si>
    <t xml:space="preserve">入荷検品を確実に行い、誤入荷・数量差異を防ぐ入口の要</t>
  </si>
  <si>
    <t xml:space="preserve">週次運用スケジュール</t>
  </si>
  <si>
    <t xml:space="preserve">在庫合わせ</t>
  </si>
  <si>
    <t xml:space="preserve">帳簿在庫と実在庫の一致を維持し、欠品・過剰在庫を防ぐ</t>
  </si>
  <si>
    <t xml:space="preserve">ピッキング</t>
  </si>
  <si>
    <t xml:space="preserve">出荷指示に基づき正確・迅速に商品を集める中核作業</t>
  </si>
  <si>
    <t xml:space="preserve">出荷</t>
  </si>
  <si>
    <t xml:space="preserve">検品・梱包・出庫を期限内に完了させる出口の要</t>
  </si>
  <si>
    <t xml:space="preserve">安全衛生</t>
  </si>
  <si>
    <t xml:space="preserve">労災防止・法令順守。全業務の前提となる基盤</t>
  </si>
  <si>
    <t xml:space="preserve">推奨</t>
  </si>
  <si>
    <r>
      <rPr>
        <sz val="11"/>
        <rFont val="Arial"/>
        <family val="0"/>
        <charset val="1"/>
      </rPr>
      <t xml:space="preserve">5S</t>
    </r>
    <r>
      <rPr>
        <sz val="11"/>
        <rFont val="WenQuanYi Zen Hei"/>
        <family val="2"/>
      </rPr>
      <t xml:space="preserve">の徹底（探す時間ゼロ）</t>
    </r>
  </si>
  <si>
    <t xml:space="preserve">整理整頓で探索ロスを排除し、作業効率と安全性を底上げ</t>
  </si>
  <si>
    <t xml:space="preserve">改善ロードマップ</t>
  </si>
  <si>
    <t xml:space="preserve">導線レイアウト</t>
  </si>
  <si>
    <t xml:space="preserve">移動距離・交錯を減らすレイアウト設計で生産性向上</t>
  </si>
  <si>
    <t xml:space="preserve">マニュアル化</t>
  </si>
  <si>
    <t xml:space="preserve">作業を標準化し、教育コストと属人化リスクを削減</t>
  </si>
  <si>
    <t xml:space="preserve">可視化</t>
  </si>
  <si>
    <t xml:space="preserve">稼働状況・在庫・進捗を現場で見える化し即対応を可能に</t>
  </si>
  <si>
    <t xml:space="preserve">資料の管理</t>
  </si>
  <si>
    <t xml:space="preserve">帳票・記録を整理し、検索性と監査対応力を確保</t>
  </si>
  <si>
    <t xml:space="preserve">理想</t>
  </si>
  <si>
    <t xml:space="preserve">ペーパーレス・デジタル化</t>
  </si>
  <si>
    <t xml:space="preserve">紙帳票を電子化し、入力ミス・保管コストを削減</t>
  </si>
  <si>
    <t xml:space="preserve">進度達成度のビジュアル化</t>
  </si>
  <si>
    <r>
      <rPr>
        <sz val="11"/>
        <rFont val="Arial"/>
        <family val="0"/>
        <charset val="1"/>
      </rPr>
      <t xml:space="preserve">KPI</t>
    </r>
    <r>
      <rPr>
        <sz val="11"/>
        <rFont val="WenQuanYi Zen Hei"/>
        <family val="2"/>
      </rPr>
      <t xml:space="preserve">ダッシュボードで目標との差を常時把握</t>
    </r>
  </si>
  <si>
    <t xml:space="preserve">人間工学の改善</t>
  </si>
  <si>
    <t xml:space="preserve">作業姿勢・動作負担を見直し、疲労と怪我を予防</t>
  </si>
  <si>
    <t xml:space="preserve">必須業務：週次・日次 標準運用スケジュール（テンプレート）</t>
  </si>
  <si>
    <t xml:space="preserve">時間帯は例。実際の便到着・出荷締め時刻に合わせて『時間』列のみ編集してください。</t>
  </si>
  <si>
    <t xml:space="preserve">時間</t>
  </si>
  <si>
    <t xml:space="preserve">月</t>
  </si>
  <si>
    <t xml:space="preserve">火</t>
  </si>
  <si>
    <t xml:space="preserve">水</t>
  </si>
  <si>
    <t xml:space="preserve">木</t>
  </si>
  <si>
    <t xml:space="preserve">金</t>
  </si>
  <si>
    <t xml:space="preserve">土</t>
  </si>
  <si>
    <t xml:space="preserve">08:00-08:15</t>
  </si>
  <si>
    <r>
      <rPr>
        <sz val="11"/>
        <rFont val="WenQuanYi Zen Hei"/>
        <family val="2"/>
      </rPr>
      <t xml:space="preserve">安全衛生朝礼・</t>
    </r>
    <r>
      <rPr>
        <sz val="11"/>
        <rFont val="Arial"/>
        <family val="0"/>
        <charset val="1"/>
      </rPr>
      <t xml:space="preserve">KY</t>
    </r>
    <r>
      <rPr>
        <sz val="11"/>
        <rFont val="WenQuanYi Zen Hei"/>
        <family val="2"/>
      </rPr>
      <t xml:space="preserve">活動</t>
    </r>
  </si>
  <si>
    <t xml:space="preserve">08:15-08:30</t>
  </si>
  <si>
    <r>
      <rPr>
        <sz val="11"/>
        <rFont val="Arial"/>
        <family val="0"/>
        <charset val="1"/>
      </rPr>
      <t xml:space="preserve">5S</t>
    </r>
    <r>
      <rPr>
        <sz val="11"/>
        <rFont val="WenQuanYi Zen Hei"/>
        <family val="2"/>
      </rPr>
      <t xml:space="preserve">・清掃点検</t>
    </r>
  </si>
  <si>
    <t xml:space="preserve">08:30-10:00</t>
  </si>
  <si>
    <t xml:space="preserve">入荷受け入れ・検品</t>
  </si>
  <si>
    <t xml:space="preserve">週次棚卸（在庫合わせ強化）</t>
  </si>
  <si>
    <t xml:space="preserve">10:00-11:30</t>
  </si>
  <si>
    <t xml:space="preserve">在庫合わせ（差異チェック）</t>
  </si>
  <si>
    <t xml:space="preserve">11:30-12:30</t>
  </si>
  <si>
    <t xml:space="preserve">昼休憩</t>
  </si>
  <si>
    <t xml:space="preserve">12:30-15:30</t>
  </si>
  <si>
    <t xml:space="preserve">15:30-17:00</t>
  </si>
  <si>
    <t xml:space="preserve">出荷検品・梱包・出庫</t>
  </si>
  <si>
    <t xml:space="preserve">17:00-17:15</t>
  </si>
  <si>
    <t xml:space="preserve">終業ミーティング・記録整理</t>
  </si>
  <si>
    <r>
      <rPr>
        <b val="true"/>
        <sz val="11"/>
        <rFont val="WenQuanYi Zen Hei"/>
        <family val="2"/>
      </rPr>
      <t xml:space="preserve">凡例</t>
    </r>
    <r>
      <rPr>
        <b val="true"/>
        <sz val="11"/>
        <rFont val="Arial"/>
        <family val="0"/>
        <charset val="1"/>
      </rPr>
      <t xml:space="preserve">:</t>
    </r>
  </si>
  <si>
    <t xml:space="preserve">必須業務</t>
  </si>
  <si>
    <t xml:space="preserve">推奨業務</t>
  </si>
  <si>
    <r>
      <rPr>
        <b val="true"/>
        <sz val="14"/>
        <rFont val="WenQuanYi Zen Hei"/>
        <family val="2"/>
      </rPr>
      <t xml:space="preserve">推奨・理想 改善ロードマップ（</t>
    </r>
    <r>
      <rPr>
        <b val="true"/>
        <sz val="14"/>
        <rFont val="Arial"/>
        <family val="0"/>
        <charset val="1"/>
      </rPr>
      <t xml:space="preserve">26</t>
    </r>
    <r>
      <rPr>
        <b val="true"/>
        <sz val="14"/>
        <rFont val="WenQuanYi Zen Hei"/>
        <family val="2"/>
      </rPr>
      <t xml:space="preserve">週間 </t>
    </r>
    <r>
      <rPr>
        <b val="true"/>
        <sz val="14"/>
        <rFont val="Arial"/>
        <family val="0"/>
        <charset val="1"/>
      </rPr>
      <t xml:space="preserve">= </t>
    </r>
    <r>
      <rPr>
        <b val="true"/>
        <sz val="14"/>
        <rFont val="WenQuanYi Zen Hei"/>
        <family val="2"/>
      </rPr>
      <t xml:space="preserve">約</t>
    </r>
    <r>
      <rPr>
        <b val="true"/>
        <sz val="14"/>
        <rFont val="Arial"/>
        <family val="0"/>
        <charset val="1"/>
      </rPr>
      <t xml:space="preserve">6</t>
    </r>
    <r>
      <rPr>
        <b val="true"/>
        <sz val="14"/>
        <rFont val="WenQuanYi Zen Hei"/>
        <family val="2"/>
      </rPr>
      <t xml:space="preserve">ヶ月）</t>
    </r>
  </si>
  <si>
    <r>
      <rPr>
        <sz val="11"/>
        <rFont val="WenQuanYi Zen Hei"/>
        <family val="2"/>
      </rPr>
      <t xml:space="preserve">プロジェクト開始日（黄セルのみ編集可）</t>
    </r>
    <r>
      <rPr>
        <sz val="11"/>
        <rFont val="Arial"/>
        <family val="0"/>
        <charset val="1"/>
      </rPr>
      <t xml:space="preserve">:</t>
    </r>
  </si>
  <si>
    <r>
      <rPr>
        <i val="true"/>
        <sz val="9"/>
        <color rgb="FF808080"/>
        <rFont val="WenQuanYi Zen Hei"/>
        <family val="2"/>
      </rPr>
      <t xml:space="preserve">各タスクの『開始週』『期間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週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』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青字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のみ編集してください。終了週・日付・ガント表示は自動計算されます。</t>
    </r>
  </si>
  <si>
    <t xml:space="preserve">タスク</t>
  </si>
  <si>
    <t xml:space="preserve">開始週</t>
  </si>
  <si>
    <r>
      <rPr>
        <b val="true"/>
        <sz val="11"/>
        <color rgb="FFFFFFFF"/>
        <rFont val="WenQuanYi Zen Hei"/>
        <family val="2"/>
      </rPr>
      <t xml:space="preserve">期間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週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</si>
  <si>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終了週</t>
  </si>
  <si>
    <t xml:space="preserve">開始日</t>
  </si>
  <si>
    <t xml:space="preserve">終了日</t>
  </si>
  <si>
    <t xml:space="preserve">安全衛生ルール確立・継続運用</t>
  </si>
  <si>
    <t xml:space="preserve">受け入れ手順の標準化</t>
  </si>
  <si>
    <t xml:space="preserve">在庫合わせルール整備</t>
  </si>
  <si>
    <t xml:space="preserve">ピッキング手順の標準化</t>
  </si>
  <si>
    <t xml:space="preserve">出荷手順の標準化</t>
  </si>
  <si>
    <r>
      <rPr>
        <sz val="11"/>
        <rFont val="Arial"/>
        <family val="0"/>
        <charset val="1"/>
      </rPr>
      <t xml:space="preserve">5S</t>
    </r>
    <r>
      <rPr>
        <sz val="11"/>
        <rFont val="WenQuanYi Zen Hei"/>
        <family val="2"/>
      </rPr>
      <t xml:space="preserve">の徹底（探す時間ゼロ化）</t>
    </r>
  </si>
  <si>
    <t xml:space="preserve">導線レイアウト見直し</t>
  </si>
  <si>
    <t xml:space="preserve">資料の管理体制構築</t>
  </si>
  <si>
    <r>
      <rPr>
        <sz val="11"/>
        <rFont val="WenQuanYi Zen Hei"/>
        <family val="2"/>
      </rPr>
      <t xml:space="preserve">可視化（現場掲示・</t>
    </r>
    <r>
      <rPr>
        <sz val="11"/>
        <rFont val="Arial"/>
        <family val="0"/>
        <charset val="1"/>
      </rPr>
      <t xml:space="preserve">KPI</t>
    </r>
    <r>
      <rPr>
        <sz val="11"/>
        <rFont val="WenQuanYi Zen Hei"/>
        <family val="2"/>
      </rPr>
      <t xml:space="preserve">ボード）</t>
    </r>
  </si>
  <si>
    <t xml:space="preserve">進度達成度のビジュアル化（ダッシュボード）</t>
  </si>
  <si>
    <t xml:space="preserve">人間工学の改善（作業姿勢・動線）</t>
  </si>
  <si>
    <t xml:space="preserve">必須（基盤整備）</t>
  </si>
  <si>
    <t xml:space="preserve">推奨（改善）</t>
  </si>
  <si>
    <t xml:space="preserve">理想（デジタル化）</t>
  </si>
  <si>
    <r>
      <rPr>
        <i val="true"/>
        <sz val="9"/>
        <color rgb="FF808080"/>
        <rFont val="WenQuanYi Zen Hei"/>
        <family val="2"/>
      </rPr>
      <t xml:space="preserve">※ 週の開始日・期間・優先度の分類はテンプレートの仮置きです。実際の負荷状況に合わせて</t>
    </r>
    <r>
      <rPr>
        <i val="true"/>
        <sz val="9"/>
        <color rgb="FF808080"/>
        <rFont val="Arial"/>
        <family val="0"/>
        <charset val="1"/>
      </rPr>
      <t xml:space="preserve">C</t>
    </r>
    <r>
      <rPr>
        <i val="true"/>
        <sz val="9"/>
        <color rgb="FF808080"/>
        <rFont val="WenQuanYi Zen Hei"/>
        <family val="2"/>
      </rPr>
      <t xml:space="preserve">・</t>
    </r>
    <r>
      <rPr>
        <i val="true"/>
        <sz val="9"/>
        <color rgb="FF808080"/>
        <rFont val="Arial"/>
        <family val="0"/>
        <charset val="1"/>
      </rPr>
      <t xml:space="preserve">D</t>
    </r>
    <r>
      <rPr>
        <i val="true"/>
        <sz val="9"/>
        <color rgb="FF808080"/>
        <rFont val="WenQuanYi Zen Hei"/>
        <family val="2"/>
      </rPr>
      <t xml:space="preserve">列を調整してください。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</si>
</sst>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i val="true"/>
      <sz val="9"/>
      <color rgb="FF808080"/>
      <name val="WenQuanYi Zen Hei"/>
      <family val="2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WenQuanYi Zen Hei"/>
      <family val="2"/>
    </font>
    <font>
      <sz val="11"/>
      <color rgb="FF0000FF"/>
      <name val="Arial"/>
      <family val="0"/>
      <charset val="1"/>
    </font>
    <font>
      <sz val="8"/>
      <color rgb="FFFFFFFF"/>
      <name val="Arial"/>
      <family val="0"/>
      <charset val="1"/>
    </font>
    <font>
      <sz val="11"/>
      <color rgb="FFFFFFFF"/>
      <name val="WenQuanYi Zen Hei"/>
      <family val="2"/>
    </font>
  </fonts>
  <fills count="10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4CCCC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800000"/>
      </patternFill>
    </fill>
    <fill>
      <patternFill patternType="solid">
        <fgColor rgb="FFD6B656"/>
        <bgColor rgb="FFB7B7B7"/>
      </patternFill>
    </fill>
    <fill>
      <patternFill patternType="solid">
        <fgColor rgb="FF38761D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C0000"/>
        </patternFill>
      </fill>
    </dxf>
    <dxf>
      <fill>
        <patternFill>
          <bgColor rgb="FFD6B656"/>
        </patternFill>
      </fill>
    </dxf>
    <dxf>
      <fill>
        <patternFill>
          <bgColor rgb="FF38761D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D6B65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15" hidden="false" customHeight="false" outlineLevel="0" collapsed="false">
      <c r="A6" s="4" t="s">
        <v>6</v>
      </c>
      <c r="B6" s="5" t="s">
        <v>10</v>
      </c>
      <c r="C6" s="5" t="s">
        <v>11</v>
      </c>
      <c r="D6" s="5" t="s">
        <v>9</v>
      </c>
    </row>
    <row r="7" customFormat="false" ht="15" hidden="false" customHeight="false" outlineLevel="0" collapsed="false">
      <c r="A7" s="4" t="s">
        <v>6</v>
      </c>
      <c r="B7" s="5" t="s">
        <v>12</v>
      </c>
      <c r="C7" s="5" t="s">
        <v>13</v>
      </c>
      <c r="D7" s="5" t="s">
        <v>9</v>
      </c>
    </row>
    <row r="8" customFormat="false" ht="15" hidden="false" customHeight="false" outlineLevel="0" collapsed="false">
      <c r="A8" s="4" t="s">
        <v>6</v>
      </c>
      <c r="B8" s="5" t="s">
        <v>14</v>
      </c>
      <c r="C8" s="5" t="s">
        <v>15</v>
      </c>
      <c r="D8" s="5" t="s">
        <v>9</v>
      </c>
    </row>
    <row r="9" customFormat="false" ht="15" hidden="false" customHeight="false" outlineLevel="0" collapsed="false">
      <c r="A9" s="4" t="s">
        <v>6</v>
      </c>
      <c r="B9" s="5" t="s">
        <v>16</v>
      </c>
      <c r="C9" s="5" t="s">
        <v>17</v>
      </c>
      <c r="D9" s="5" t="s">
        <v>9</v>
      </c>
    </row>
    <row r="10" customFormat="false" ht="15" hidden="false" customHeight="false" outlineLevel="0" collapsed="false">
      <c r="A10" s="6" t="s">
        <v>18</v>
      </c>
      <c r="B10" s="7" t="s">
        <v>19</v>
      </c>
      <c r="C10" s="5" t="s">
        <v>20</v>
      </c>
      <c r="D10" s="5" t="s">
        <v>21</v>
      </c>
    </row>
    <row r="11" customFormat="false" ht="15" hidden="false" customHeight="false" outlineLevel="0" collapsed="false">
      <c r="A11" s="6" t="s">
        <v>18</v>
      </c>
      <c r="B11" s="5" t="s">
        <v>22</v>
      </c>
      <c r="C11" s="5" t="s">
        <v>23</v>
      </c>
      <c r="D11" s="5" t="s">
        <v>21</v>
      </c>
    </row>
    <row r="12" customFormat="false" ht="15" hidden="false" customHeight="false" outlineLevel="0" collapsed="false">
      <c r="A12" s="6" t="s">
        <v>18</v>
      </c>
      <c r="B12" s="5" t="s">
        <v>24</v>
      </c>
      <c r="C12" s="5" t="s">
        <v>25</v>
      </c>
      <c r="D12" s="5" t="s">
        <v>21</v>
      </c>
    </row>
    <row r="13" customFormat="false" ht="15" hidden="false" customHeight="false" outlineLevel="0" collapsed="false">
      <c r="A13" s="6" t="s">
        <v>18</v>
      </c>
      <c r="B13" s="5" t="s">
        <v>26</v>
      </c>
      <c r="C13" s="5" t="s">
        <v>27</v>
      </c>
      <c r="D13" s="5" t="s">
        <v>21</v>
      </c>
    </row>
    <row r="14" customFormat="false" ht="15" hidden="false" customHeight="false" outlineLevel="0" collapsed="false">
      <c r="A14" s="6" t="s">
        <v>18</v>
      </c>
      <c r="B14" s="5" t="s">
        <v>28</v>
      </c>
      <c r="C14" s="5" t="s">
        <v>29</v>
      </c>
      <c r="D14" s="5" t="s">
        <v>21</v>
      </c>
    </row>
    <row r="15" customFormat="false" ht="15" hidden="false" customHeight="false" outlineLevel="0" collapsed="false">
      <c r="A15" s="8" t="s">
        <v>30</v>
      </c>
      <c r="B15" s="5" t="s">
        <v>31</v>
      </c>
      <c r="C15" s="5" t="s">
        <v>32</v>
      </c>
      <c r="D15" s="5" t="s">
        <v>21</v>
      </c>
    </row>
    <row r="16" customFormat="false" ht="15" hidden="false" customHeight="false" outlineLevel="0" collapsed="false">
      <c r="A16" s="8" t="s">
        <v>30</v>
      </c>
      <c r="B16" s="5" t="s">
        <v>33</v>
      </c>
      <c r="C16" s="7" t="s">
        <v>34</v>
      </c>
      <c r="D16" s="5" t="s">
        <v>21</v>
      </c>
    </row>
    <row r="17" customFormat="false" ht="15" hidden="false" customHeight="false" outlineLevel="0" collapsed="false">
      <c r="A17" s="8" t="s">
        <v>30</v>
      </c>
      <c r="B17" s="5" t="s">
        <v>35</v>
      </c>
      <c r="C17" s="5" t="s">
        <v>36</v>
      </c>
      <c r="D17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2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</row>
    <row r="5" customFormat="false" ht="15" hidden="false" customHeight="false" outlineLevel="0" collapsed="false">
      <c r="A5" s="9" t="s">
        <v>46</v>
      </c>
      <c r="B5" s="10" t="s">
        <v>47</v>
      </c>
      <c r="C5" s="10" t="s">
        <v>47</v>
      </c>
      <c r="D5" s="10" t="s">
        <v>47</v>
      </c>
      <c r="E5" s="10" t="s">
        <v>47</v>
      </c>
      <c r="F5" s="10" t="s">
        <v>47</v>
      </c>
      <c r="G5" s="10" t="s">
        <v>47</v>
      </c>
    </row>
    <row r="6" customFormat="false" ht="15" hidden="false" customHeight="false" outlineLevel="0" collapsed="false">
      <c r="A6" s="9" t="s">
        <v>48</v>
      </c>
      <c r="B6" s="11" t="s">
        <v>49</v>
      </c>
      <c r="C6" s="11" t="s">
        <v>49</v>
      </c>
      <c r="D6" s="11" t="s">
        <v>49</v>
      </c>
      <c r="E6" s="11" t="s">
        <v>49</v>
      </c>
      <c r="F6" s="11" t="s">
        <v>49</v>
      </c>
      <c r="G6" s="11" t="s">
        <v>49</v>
      </c>
    </row>
    <row r="7" customFormat="false" ht="15" hidden="false" customHeight="false" outlineLevel="0" collapsed="false">
      <c r="A7" s="9" t="s">
        <v>50</v>
      </c>
      <c r="B7" s="10" t="s">
        <v>51</v>
      </c>
      <c r="C7" s="10" t="s">
        <v>51</v>
      </c>
      <c r="D7" s="10" t="s">
        <v>51</v>
      </c>
      <c r="E7" s="10" t="s">
        <v>51</v>
      </c>
      <c r="F7" s="10" t="s">
        <v>51</v>
      </c>
      <c r="G7" s="10" t="s">
        <v>52</v>
      </c>
    </row>
    <row r="8" customFormat="false" ht="28.35" hidden="false" customHeight="false" outlineLevel="0" collapsed="false">
      <c r="A8" s="9" t="s">
        <v>53</v>
      </c>
      <c r="B8" s="10" t="s">
        <v>54</v>
      </c>
      <c r="C8" s="10" t="s">
        <v>54</v>
      </c>
      <c r="D8" s="10" t="s">
        <v>54</v>
      </c>
      <c r="E8" s="10" t="s">
        <v>54</v>
      </c>
      <c r="F8" s="10" t="s">
        <v>54</v>
      </c>
      <c r="G8" s="10" t="s">
        <v>54</v>
      </c>
    </row>
    <row r="9" customFormat="false" ht="15" hidden="false" customHeight="false" outlineLevel="0" collapsed="false">
      <c r="A9" s="9" t="s">
        <v>55</v>
      </c>
      <c r="B9" s="12" t="s">
        <v>56</v>
      </c>
      <c r="C9" s="12" t="s">
        <v>56</v>
      </c>
      <c r="D9" s="12" t="s">
        <v>56</v>
      </c>
      <c r="E9" s="12" t="s">
        <v>56</v>
      </c>
      <c r="F9" s="12" t="s">
        <v>56</v>
      </c>
      <c r="G9" s="12" t="s">
        <v>56</v>
      </c>
    </row>
    <row r="10" customFormat="false" ht="15" hidden="false" customHeight="false" outlineLevel="0" collapsed="false">
      <c r="A10" s="9" t="s">
        <v>57</v>
      </c>
      <c r="B10" s="10" t="s">
        <v>12</v>
      </c>
      <c r="C10" s="10" t="s">
        <v>12</v>
      </c>
      <c r="D10" s="10" t="s">
        <v>12</v>
      </c>
      <c r="E10" s="10" t="s">
        <v>12</v>
      </c>
      <c r="F10" s="10" t="s">
        <v>12</v>
      </c>
      <c r="G10" s="10" t="s">
        <v>12</v>
      </c>
    </row>
    <row r="11" customFormat="false" ht="15" hidden="false" customHeight="false" outlineLevel="0" collapsed="false">
      <c r="A11" s="9" t="s">
        <v>58</v>
      </c>
      <c r="B11" s="10" t="s">
        <v>59</v>
      </c>
      <c r="C11" s="10" t="s">
        <v>59</v>
      </c>
      <c r="D11" s="10" t="s">
        <v>59</v>
      </c>
      <c r="E11" s="10" t="s">
        <v>59</v>
      </c>
      <c r="F11" s="10" t="s">
        <v>59</v>
      </c>
      <c r="G11" s="10" t="s">
        <v>59</v>
      </c>
    </row>
    <row r="12" customFormat="false" ht="28.35" hidden="false" customHeight="false" outlineLevel="0" collapsed="false">
      <c r="A12" s="9" t="s">
        <v>60</v>
      </c>
      <c r="B12" s="13" t="s">
        <v>61</v>
      </c>
      <c r="C12" s="13" t="s">
        <v>61</v>
      </c>
      <c r="D12" s="13" t="s">
        <v>61</v>
      </c>
      <c r="E12" s="13" t="s">
        <v>61</v>
      </c>
      <c r="F12" s="13" t="s">
        <v>61</v>
      </c>
      <c r="G12" s="13" t="s">
        <v>61</v>
      </c>
    </row>
    <row r="15" customFormat="false" ht="15" hidden="false" customHeight="false" outlineLevel="0" collapsed="false">
      <c r="A15" s="14" t="s">
        <v>62</v>
      </c>
    </row>
    <row r="16" customFormat="false" ht="15" hidden="false" customHeight="false" outlineLevel="0" collapsed="false">
      <c r="A16" s="15" t="s">
        <v>63</v>
      </c>
    </row>
    <row r="17" customFormat="false" ht="15" hidden="false" customHeight="false" outlineLevel="0" collapsed="false">
      <c r="A17" s="16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5" min="3" style="0" width="9"/>
    <col collapsed="false" customWidth="true" hidden="false" outlineLevel="0" max="7" min="6" style="0" width="12"/>
    <col collapsed="false" customWidth="true" hidden="false" outlineLevel="0" max="33" min="8" style="0" width="3.2"/>
  </cols>
  <sheetData>
    <row r="1" customFormat="false" ht="19.4" hidden="false" customHeight="false" outlineLevel="0" collapsed="false">
      <c r="A1" s="1" t="s">
        <v>65</v>
      </c>
    </row>
    <row r="2" customFormat="false" ht="15" hidden="false" customHeight="false" outlineLevel="0" collapsed="false">
      <c r="A2" s="17" t="s">
        <v>66</v>
      </c>
      <c r="C2" s="18" t="n">
        <v>46237</v>
      </c>
    </row>
    <row r="3" customFormat="false" ht="15" hidden="false" customHeight="false" outlineLevel="0" collapsed="false">
      <c r="A3" s="2" t="s">
        <v>67</v>
      </c>
    </row>
    <row r="5" customFormat="false" ht="15" hidden="false" customHeight="false" outlineLevel="0" collapsed="false">
      <c r="A5" s="3" t="s">
        <v>2</v>
      </c>
      <c r="B5" s="3" t="s">
        <v>68</v>
      </c>
      <c r="C5" s="3" t="s">
        <v>69</v>
      </c>
      <c r="D5" s="3" t="s">
        <v>70</v>
      </c>
      <c r="E5" s="3" t="s">
        <v>71</v>
      </c>
      <c r="F5" s="3" t="s">
        <v>72</v>
      </c>
      <c r="G5" s="3" t="s">
        <v>73</v>
      </c>
      <c r="H5" s="3" t="n">
        <v>1</v>
      </c>
      <c r="I5" s="3" t="n">
        <v>2</v>
      </c>
      <c r="J5" s="3" t="n">
        <v>3</v>
      </c>
      <c r="K5" s="3" t="n">
        <v>4</v>
      </c>
      <c r="L5" s="3" t="n">
        <v>5</v>
      </c>
      <c r="M5" s="3" t="n">
        <v>6</v>
      </c>
      <c r="N5" s="3" t="n">
        <v>7</v>
      </c>
      <c r="O5" s="3" t="n">
        <v>8</v>
      </c>
      <c r="P5" s="3" t="n">
        <v>9</v>
      </c>
      <c r="Q5" s="3" t="n">
        <v>10</v>
      </c>
      <c r="R5" s="3" t="n">
        <v>11</v>
      </c>
      <c r="S5" s="3" t="n">
        <v>12</v>
      </c>
      <c r="T5" s="3" t="n">
        <v>13</v>
      </c>
      <c r="U5" s="3" t="n">
        <v>14</v>
      </c>
      <c r="V5" s="3" t="n">
        <v>15</v>
      </c>
      <c r="W5" s="3" t="n">
        <v>16</v>
      </c>
      <c r="X5" s="3" t="n">
        <v>17</v>
      </c>
      <c r="Y5" s="3" t="n">
        <v>18</v>
      </c>
      <c r="Z5" s="3" t="n">
        <v>19</v>
      </c>
      <c r="AA5" s="3" t="n">
        <v>20</v>
      </c>
      <c r="AB5" s="3" t="n">
        <v>21</v>
      </c>
      <c r="AC5" s="3" t="n">
        <v>22</v>
      </c>
      <c r="AD5" s="3" t="n">
        <v>23</v>
      </c>
      <c r="AE5" s="3" t="n">
        <v>24</v>
      </c>
      <c r="AF5" s="3" t="n">
        <v>25</v>
      </c>
      <c r="AG5" s="3" t="n">
        <v>26</v>
      </c>
    </row>
    <row r="6" customFormat="false" ht="15" hidden="false" customHeight="false" outlineLevel="0" collapsed="false">
      <c r="A6" s="19" t="s">
        <v>6</v>
      </c>
      <c r="B6" s="20" t="s">
        <v>74</v>
      </c>
      <c r="C6" s="21" t="n">
        <v>1</v>
      </c>
      <c r="D6" s="21" t="n">
        <v>26</v>
      </c>
      <c r="E6" s="12" t="n">
        <f aca="false">C6+D6-1</f>
        <v>26</v>
      </c>
      <c r="F6" s="22" t="n">
        <f aca="false">$C$2+(C6-1)*7</f>
        <v>46237</v>
      </c>
      <c r="G6" s="22" t="n">
        <f aca="false">$C$2+(E6)*7-1</f>
        <v>46418</v>
      </c>
      <c r="H6" s="23" t="n">
        <f aca="false">IF(AND(H$5&gt;=$C6,H$5&lt;=$E6),1,0)</f>
        <v>1</v>
      </c>
      <c r="I6" s="23" t="n">
        <f aca="false">IF(AND(I$5&gt;=$C6,I$5&lt;=$E6),1,0)</f>
        <v>1</v>
      </c>
      <c r="J6" s="23" t="n">
        <f aca="false">IF(AND(J$5&gt;=$C6,J$5&lt;=$E6),1,0)</f>
        <v>1</v>
      </c>
      <c r="K6" s="23" t="n">
        <f aca="false">IF(AND(K$5&gt;=$C6,K$5&lt;=$E6),1,0)</f>
        <v>1</v>
      </c>
      <c r="L6" s="23" t="n">
        <f aca="false">IF(AND(L$5&gt;=$C6,L$5&lt;=$E6),1,0)</f>
        <v>1</v>
      </c>
      <c r="M6" s="23" t="n">
        <f aca="false">IF(AND(M$5&gt;=$C6,M$5&lt;=$E6),1,0)</f>
        <v>1</v>
      </c>
      <c r="N6" s="23" t="n">
        <f aca="false">IF(AND(N$5&gt;=$C6,N$5&lt;=$E6),1,0)</f>
        <v>1</v>
      </c>
      <c r="O6" s="23" t="n">
        <f aca="false">IF(AND(O$5&gt;=$C6,O$5&lt;=$E6),1,0)</f>
        <v>1</v>
      </c>
      <c r="P6" s="23" t="n">
        <f aca="false">IF(AND(P$5&gt;=$C6,P$5&lt;=$E6),1,0)</f>
        <v>1</v>
      </c>
      <c r="Q6" s="23" t="n">
        <f aca="false">IF(AND(Q$5&gt;=$C6,Q$5&lt;=$E6),1,0)</f>
        <v>1</v>
      </c>
      <c r="R6" s="23" t="n">
        <f aca="false">IF(AND(R$5&gt;=$C6,R$5&lt;=$E6),1,0)</f>
        <v>1</v>
      </c>
      <c r="S6" s="23" t="n">
        <f aca="false">IF(AND(S$5&gt;=$C6,S$5&lt;=$E6),1,0)</f>
        <v>1</v>
      </c>
      <c r="T6" s="23" t="n">
        <f aca="false">IF(AND(T$5&gt;=$C6,T$5&lt;=$E6),1,0)</f>
        <v>1</v>
      </c>
      <c r="U6" s="23" t="n">
        <f aca="false">IF(AND(U$5&gt;=$C6,U$5&lt;=$E6),1,0)</f>
        <v>1</v>
      </c>
      <c r="V6" s="23" t="n">
        <f aca="false">IF(AND(V$5&gt;=$C6,V$5&lt;=$E6),1,0)</f>
        <v>1</v>
      </c>
      <c r="W6" s="23" t="n">
        <f aca="false">IF(AND(W$5&gt;=$C6,W$5&lt;=$E6),1,0)</f>
        <v>1</v>
      </c>
      <c r="X6" s="23" t="n">
        <f aca="false">IF(AND(X$5&gt;=$C6,X$5&lt;=$E6),1,0)</f>
        <v>1</v>
      </c>
      <c r="Y6" s="23" t="n">
        <f aca="false">IF(AND(Y$5&gt;=$C6,Y$5&lt;=$E6),1,0)</f>
        <v>1</v>
      </c>
      <c r="Z6" s="23" t="n">
        <f aca="false">IF(AND(Z$5&gt;=$C6,Z$5&lt;=$E6),1,0)</f>
        <v>1</v>
      </c>
      <c r="AA6" s="23" t="n">
        <f aca="false">IF(AND(AA$5&gt;=$C6,AA$5&lt;=$E6),1,0)</f>
        <v>1</v>
      </c>
      <c r="AB6" s="23" t="n">
        <f aca="false">IF(AND(AB$5&gt;=$C6,AB$5&lt;=$E6),1,0)</f>
        <v>1</v>
      </c>
      <c r="AC6" s="23" t="n">
        <f aca="false">IF(AND(AC$5&gt;=$C6,AC$5&lt;=$E6),1,0)</f>
        <v>1</v>
      </c>
      <c r="AD6" s="23" t="n">
        <f aca="false">IF(AND(AD$5&gt;=$C6,AD$5&lt;=$E6),1,0)</f>
        <v>1</v>
      </c>
      <c r="AE6" s="23" t="n">
        <f aca="false">IF(AND(AE$5&gt;=$C6,AE$5&lt;=$E6),1,0)</f>
        <v>1</v>
      </c>
      <c r="AF6" s="23" t="n">
        <f aca="false">IF(AND(AF$5&gt;=$C6,AF$5&lt;=$E6),1,0)</f>
        <v>1</v>
      </c>
      <c r="AG6" s="23" t="n">
        <f aca="false">IF(AND(AG$5&gt;=$C6,AG$5&lt;=$E6),1,0)</f>
        <v>1</v>
      </c>
    </row>
    <row r="7" customFormat="false" ht="15" hidden="false" customHeight="false" outlineLevel="0" collapsed="false">
      <c r="A7" s="19" t="s">
        <v>6</v>
      </c>
      <c r="B7" s="20" t="s">
        <v>75</v>
      </c>
      <c r="C7" s="21" t="n">
        <v>1</v>
      </c>
      <c r="D7" s="21" t="n">
        <v>3</v>
      </c>
      <c r="E7" s="12" t="n">
        <f aca="false">C7+D7-1</f>
        <v>3</v>
      </c>
      <c r="F7" s="22" t="n">
        <f aca="false">$C$2+(C7-1)*7</f>
        <v>46237</v>
      </c>
      <c r="G7" s="22" t="n">
        <f aca="false">$C$2+(E7)*7-1</f>
        <v>46257</v>
      </c>
      <c r="H7" s="23" t="n">
        <f aca="false">IF(AND(H$5&gt;=$C7,H$5&lt;=$E7),1,0)</f>
        <v>1</v>
      </c>
      <c r="I7" s="23" t="n">
        <f aca="false">IF(AND(I$5&gt;=$C7,I$5&lt;=$E7),1,0)</f>
        <v>1</v>
      </c>
      <c r="J7" s="23" t="n">
        <f aca="false">IF(AND(J$5&gt;=$C7,J$5&lt;=$E7),1,0)</f>
        <v>1</v>
      </c>
      <c r="K7" s="23" t="n">
        <f aca="false">IF(AND(K$5&gt;=$C7,K$5&lt;=$E7),1,0)</f>
        <v>0</v>
      </c>
      <c r="L7" s="23" t="n">
        <f aca="false">IF(AND(L$5&gt;=$C7,L$5&lt;=$E7),1,0)</f>
        <v>0</v>
      </c>
      <c r="M7" s="23" t="n">
        <f aca="false">IF(AND(M$5&gt;=$C7,M$5&lt;=$E7),1,0)</f>
        <v>0</v>
      </c>
      <c r="N7" s="23" t="n">
        <f aca="false">IF(AND(N$5&gt;=$C7,N$5&lt;=$E7),1,0)</f>
        <v>0</v>
      </c>
      <c r="O7" s="23" t="n">
        <f aca="false">IF(AND(O$5&gt;=$C7,O$5&lt;=$E7),1,0)</f>
        <v>0</v>
      </c>
      <c r="P7" s="23" t="n">
        <f aca="false">IF(AND(P$5&gt;=$C7,P$5&lt;=$E7),1,0)</f>
        <v>0</v>
      </c>
      <c r="Q7" s="23" t="n">
        <f aca="false">IF(AND(Q$5&gt;=$C7,Q$5&lt;=$E7),1,0)</f>
        <v>0</v>
      </c>
      <c r="R7" s="23" t="n">
        <f aca="false">IF(AND(R$5&gt;=$C7,R$5&lt;=$E7),1,0)</f>
        <v>0</v>
      </c>
      <c r="S7" s="23" t="n">
        <f aca="false">IF(AND(S$5&gt;=$C7,S$5&lt;=$E7),1,0)</f>
        <v>0</v>
      </c>
      <c r="T7" s="23" t="n">
        <f aca="false">IF(AND(T$5&gt;=$C7,T$5&lt;=$E7),1,0)</f>
        <v>0</v>
      </c>
      <c r="U7" s="23" t="n">
        <f aca="false">IF(AND(U$5&gt;=$C7,U$5&lt;=$E7),1,0)</f>
        <v>0</v>
      </c>
      <c r="V7" s="23" t="n">
        <f aca="false">IF(AND(V$5&gt;=$C7,V$5&lt;=$E7),1,0)</f>
        <v>0</v>
      </c>
      <c r="W7" s="23" t="n">
        <f aca="false">IF(AND(W$5&gt;=$C7,W$5&lt;=$E7),1,0)</f>
        <v>0</v>
      </c>
      <c r="X7" s="23" t="n">
        <f aca="false">IF(AND(X$5&gt;=$C7,X$5&lt;=$E7),1,0)</f>
        <v>0</v>
      </c>
      <c r="Y7" s="23" t="n">
        <f aca="false">IF(AND(Y$5&gt;=$C7,Y$5&lt;=$E7),1,0)</f>
        <v>0</v>
      </c>
      <c r="Z7" s="23" t="n">
        <f aca="false">IF(AND(Z$5&gt;=$C7,Z$5&lt;=$E7),1,0)</f>
        <v>0</v>
      </c>
      <c r="AA7" s="23" t="n">
        <f aca="false">IF(AND(AA$5&gt;=$C7,AA$5&lt;=$E7),1,0)</f>
        <v>0</v>
      </c>
      <c r="AB7" s="23" t="n">
        <f aca="false">IF(AND(AB$5&gt;=$C7,AB$5&lt;=$E7),1,0)</f>
        <v>0</v>
      </c>
      <c r="AC7" s="23" t="n">
        <f aca="false">IF(AND(AC$5&gt;=$C7,AC$5&lt;=$E7),1,0)</f>
        <v>0</v>
      </c>
      <c r="AD7" s="23" t="n">
        <f aca="false">IF(AND(AD$5&gt;=$C7,AD$5&lt;=$E7),1,0)</f>
        <v>0</v>
      </c>
      <c r="AE7" s="23" t="n">
        <f aca="false">IF(AND(AE$5&gt;=$C7,AE$5&lt;=$E7),1,0)</f>
        <v>0</v>
      </c>
      <c r="AF7" s="23" t="n">
        <f aca="false">IF(AND(AF$5&gt;=$C7,AF$5&lt;=$E7),1,0)</f>
        <v>0</v>
      </c>
      <c r="AG7" s="23" t="n">
        <f aca="false">IF(AND(AG$5&gt;=$C7,AG$5&lt;=$E7),1,0)</f>
        <v>0</v>
      </c>
    </row>
    <row r="8" customFormat="false" ht="15" hidden="false" customHeight="false" outlineLevel="0" collapsed="false">
      <c r="A8" s="19" t="s">
        <v>6</v>
      </c>
      <c r="B8" s="20" t="s">
        <v>76</v>
      </c>
      <c r="C8" s="21" t="n">
        <v>2</v>
      </c>
      <c r="D8" s="21" t="n">
        <v>3</v>
      </c>
      <c r="E8" s="12" t="n">
        <f aca="false">C8+D8-1</f>
        <v>4</v>
      </c>
      <c r="F8" s="22" t="n">
        <f aca="false">$C$2+(C8-1)*7</f>
        <v>46244</v>
      </c>
      <c r="G8" s="22" t="n">
        <f aca="false">$C$2+(E8)*7-1</f>
        <v>46264</v>
      </c>
      <c r="H8" s="23" t="n">
        <f aca="false">IF(AND(H$5&gt;=$C8,H$5&lt;=$E8),1,0)</f>
        <v>0</v>
      </c>
      <c r="I8" s="23" t="n">
        <f aca="false">IF(AND(I$5&gt;=$C8,I$5&lt;=$E8),1,0)</f>
        <v>1</v>
      </c>
      <c r="J8" s="23" t="n">
        <f aca="false">IF(AND(J$5&gt;=$C8,J$5&lt;=$E8),1,0)</f>
        <v>1</v>
      </c>
      <c r="K8" s="23" t="n">
        <f aca="false">IF(AND(K$5&gt;=$C8,K$5&lt;=$E8),1,0)</f>
        <v>1</v>
      </c>
      <c r="L8" s="23" t="n">
        <f aca="false">IF(AND(L$5&gt;=$C8,L$5&lt;=$E8),1,0)</f>
        <v>0</v>
      </c>
      <c r="M8" s="23" t="n">
        <f aca="false">IF(AND(M$5&gt;=$C8,M$5&lt;=$E8),1,0)</f>
        <v>0</v>
      </c>
      <c r="N8" s="23" t="n">
        <f aca="false">IF(AND(N$5&gt;=$C8,N$5&lt;=$E8),1,0)</f>
        <v>0</v>
      </c>
      <c r="O8" s="23" t="n">
        <f aca="false">IF(AND(O$5&gt;=$C8,O$5&lt;=$E8),1,0)</f>
        <v>0</v>
      </c>
      <c r="P8" s="23" t="n">
        <f aca="false">IF(AND(P$5&gt;=$C8,P$5&lt;=$E8),1,0)</f>
        <v>0</v>
      </c>
      <c r="Q8" s="23" t="n">
        <f aca="false">IF(AND(Q$5&gt;=$C8,Q$5&lt;=$E8),1,0)</f>
        <v>0</v>
      </c>
      <c r="R8" s="23" t="n">
        <f aca="false">IF(AND(R$5&gt;=$C8,R$5&lt;=$E8),1,0)</f>
        <v>0</v>
      </c>
      <c r="S8" s="23" t="n">
        <f aca="false">IF(AND(S$5&gt;=$C8,S$5&lt;=$E8),1,0)</f>
        <v>0</v>
      </c>
      <c r="T8" s="23" t="n">
        <f aca="false">IF(AND(T$5&gt;=$C8,T$5&lt;=$E8),1,0)</f>
        <v>0</v>
      </c>
      <c r="U8" s="23" t="n">
        <f aca="false">IF(AND(U$5&gt;=$C8,U$5&lt;=$E8),1,0)</f>
        <v>0</v>
      </c>
      <c r="V8" s="23" t="n">
        <f aca="false">IF(AND(V$5&gt;=$C8,V$5&lt;=$E8),1,0)</f>
        <v>0</v>
      </c>
      <c r="W8" s="23" t="n">
        <f aca="false">IF(AND(W$5&gt;=$C8,W$5&lt;=$E8),1,0)</f>
        <v>0</v>
      </c>
      <c r="X8" s="23" t="n">
        <f aca="false">IF(AND(X$5&gt;=$C8,X$5&lt;=$E8),1,0)</f>
        <v>0</v>
      </c>
      <c r="Y8" s="23" t="n">
        <f aca="false">IF(AND(Y$5&gt;=$C8,Y$5&lt;=$E8),1,0)</f>
        <v>0</v>
      </c>
      <c r="Z8" s="23" t="n">
        <f aca="false">IF(AND(Z$5&gt;=$C8,Z$5&lt;=$E8),1,0)</f>
        <v>0</v>
      </c>
      <c r="AA8" s="23" t="n">
        <f aca="false">IF(AND(AA$5&gt;=$C8,AA$5&lt;=$E8),1,0)</f>
        <v>0</v>
      </c>
      <c r="AB8" s="23" t="n">
        <f aca="false">IF(AND(AB$5&gt;=$C8,AB$5&lt;=$E8),1,0)</f>
        <v>0</v>
      </c>
      <c r="AC8" s="23" t="n">
        <f aca="false">IF(AND(AC$5&gt;=$C8,AC$5&lt;=$E8),1,0)</f>
        <v>0</v>
      </c>
      <c r="AD8" s="23" t="n">
        <f aca="false">IF(AND(AD$5&gt;=$C8,AD$5&lt;=$E8),1,0)</f>
        <v>0</v>
      </c>
      <c r="AE8" s="23" t="n">
        <f aca="false">IF(AND(AE$5&gt;=$C8,AE$5&lt;=$E8),1,0)</f>
        <v>0</v>
      </c>
      <c r="AF8" s="23" t="n">
        <f aca="false">IF(AND(AF$5&gt;=$C8,AF$5&lt;=$E8),1,0)</f>
        <v>0</v>
      </c>
      <c r="AG8" s="23" t="n">
        <f aca="false">IF(AND(AG$5&gt;=$C8,AG$5&lt;=$E8),1,0)</f>
        <v>0</v>
      </c>
    </row>
    <row r="9" customFormat="false" ht="15" hidden="false" customHeight="false" outlineLevel="0" collapsed="false">
      <c r="A9" s="19" t="s">
        <v>6</v>
      </c>
      <c r="B9" s="20" t="s">
        <v>77</v>
      </c>
      <c r="C9" s="21" t="n">
        <v>3</v>
      </c>
      <c r="D9" s="21" t="n">
        <v>3</v>
      </c>
      <c r="E9" s="12" t="n">
        <f aca="false">C9+D9-1</f>
        <v>5</v>
      </c>
      <c r="F9" s="22" t="n">
        <f aca="false">$C$2+(C9-1)*7</f>
        <v>46251</v>
      </c>
      <c r="G9" s="22" t="n">
        <f aca="false">$C$2+(E9)*7-1</f>
        <v>46271</v>
      </c>
      <c r="H9" s="23" t="n">
        <f aca="false">IF(AND(H$5&gt;=$C9,H$5&lt;=$E9),1,0)</f>
        <v>0</v>
      </c>
      <c r="I9" s="23" t="n">
        <f aca="false">IF(AND(I$5&gt;=$C9,I$5&lt;=$E9),1,0)</f>
        <v>0</v>
      </c>
      <c r="J9" s="23" t="n">
        <f aca="false">IF(AND(J$5&gt;=$C9,J$5&lt;=$E9),1,0)</f>
        <v>1</v>
      </c>
      <c r="K9" s="23" t="n">
        <f aca="false">IF(AND(K$5&gt;=$C9,K$5&lt;=$E9),1,0)</f>
        <v>1</v>
      </c>
      <c r="L9" s="23" t="n">
        <f aca="false">IF(AND(L$5&gt;=$C9,L$5&lt;=$E9),1,0)</f>
        <v>1</v>
      </c>
      <c r="M9" s="23" t="n">
        <f aca="false">IF(AND(M$5&gt;=$C9,M$5&lt;=$E9),1,0)</f>
        <v>0</v>
      </c>
      <c r="N9" s="23" t="n">
        <f aca="false">IF(AND(N$5&gt;=$C9,N$5&lt;=$E9),1,0)</f>
        <v>0</v>
      </c>
      <c r="O9" s="23" t="n">
        <f aca="false">IF(AND(O$5&gt;=$C9,O$5&lt;=$E9),1,0)</f>
        <v>0</v>
      </c>
      <c r="P9" s="23" t="n">
        <f aca="false">IF(AND(P$5&gt;=$C9,P$5&lt;=$E9),1,0)</f>
        <v>0</v>
      </c>
      <c r="Q9" s="23" t="n">
        <f aca="false">IF(AND(Q$5&gt;=$C9,Q$5&lt;=$E9),1,0)</f>
        <v>0</v>
      </c>
      <c r="R9" s="23" t="n">
        <f aca="false">IF(AND(R$5&gt;=$C9,R$5&lt;=$E9),1,0)</f>
        <v>0</v>
      </c>
      <c r="S9" s="23" t="n">
        <f aca="false">IF(AND(S$5&gt;=$C9,S$5&lt;=$E9),1,0)</f>
        <v>0</v>
      </c>
      <c r="T9" s="23" t="n">
        <f aca="false">IF(AND(T$5&gt;=$C9,T$5&lt;=$E9),1,0)</f>
        <v>0</v>
      </c>
      <c r="U9" s="23" t="n">
        <f aca="false">IF(AND(U$5&gt;=$C9,U$5&lt;=$E9),1,0)</f>
        <v>0</v>
      </c>
      <c r="V9" s="23" t="n">
        <f aca="false">IF(AND(V$5&gt;=$C9,V$5&lt;=$E9),1,0)</f>
        <v>0</v>
      </c>
      <c r="W9" s="23" t="n">
        <f aca="false">IF(AND(W$5&gt;=$C9,W$5&lt;=$E9),1,0)</f>
        <v>0</v>
      </c>
      <c r="X9" s="23" t="n">
        <f aca="false">IF(AND(X$5&gt;=$C9,X$5&lt;=$E9),1,0)</f>
        <v>0</v>
      </c>
      <c r="Y9" s="23" t="n">
        <f aca="false">IF(AND(Y$5&gt;=$C9,Y$5&lt;=$E9),1,0)</f>
        <v>0</v>
      </c>
      <c r="Z9" s="23" t="n">
        <f aca="false">IF(AND(Z$5&gt;=$C9,Z$5&lt;=$E9),1,0)</f>
        <v>0</v>
      </c>
      <c r="AA9" s="23" t="n">
        <f aca="false">IF(AND(AA$5&gt;=$C9,AA$5&lt;=$E9),1,0)</f>
        <v>0</v>
      </c>
      <c r="AB9" s="23" t="n">
        <f aca="false">IF(AND(AB$5&gt;=$C9,AB$5&lt;=$E9),1,0)</f>
        <v>0</v>
      </c>
      <c r="AC9" s="23" t="n">
        <f aca="false">IF(AND(AC$5&gt;=$C9,AC$5&lt;=$E9),1,0)</f>
        <v>0</v>
      </c>
      <c r="AD9" s="23" t="n">
        <f aca="false">IF(AND(AD$5&gt;=$C9,AD$5&lt;=$E9),1,0)</f>
        <v>0</v>
      </c>
      <c r="AE9" s="23" t="n">
        <f aca="false">IF(AND(AE$5&gt;=$C9,AE$5&lt;=$E9),1,0)</f>
        <v>0</v>
      </c>
      <c r="AF9" s="23" t="n">
        <f aca="false">IF(AND(AF$5&gt;=$C9,AF$5&lt;=$E9),1,0)</f>
        <v>0</v>
      </c>
      <c r="AG9" s="23" t="n">
        <f aca="false">IF(AND(AG$5&gt;=$C9,AG$5&lt;=$E9),1,0)</f>
        <v>0</v>
      </c>
    </row>
    <row r="10" customFormat="false" ht="15" hidden="false" customHeight="false" outlineLevel="0" collapsed="false">
      <c r="A10" s="19" t="s">
        <v>6</v>
      </c>
      <c r="B10" s="20" t="s">
        <v>78</v>
      </c>
      <c r="C10" s="21" t="n">
        <v>4</v>
      </c>
      <c r="D10" s="21" t="n">
        <v>3</v>
      </c>
      <c r="E10" s="12" t="n">
        <f aca="false">C10+D10-1</f>
        <v>6</v>
      </c>
      <c r="F10" s="22" t="n">
        <f aca="false">$C$2+(C10-1)*7</f>
        <v>46258</v>
      </c>
      <c r="G10" s="22" t="n">
        <f aca="false">$C$2+(E10)*7-1</f>
        <v>46278</v>
      </c>
      <c r="H10" s="23" t="n">
        <f aca="false">IF(AND(H$5&gt;=$C10,H$5&lt;=$E10),1,0)</f>
        <v>0</v>
      </c>
      <c r="I10" s="23" t="n">
        <f aca="false">IF(AND(I$5&gt;=$C10,I$5&lt;=$E10),1,0)</f>
        <v>0</v>
      </c>
      <c r="J10" s="23" t="n">
        <f aca="false">IF(AND(J$5&gt;=$C10,J$5&lt;=$E10),1,0)</f>
        <v>0</v>
      </c>
      <c r="K10" s="23" t="n">
        <f aca="false">IF(AND(K$5&gt;=$C10,K$5&lt;=$E10),1,0)</f>
        <v>1</v>
      </c>
      <c r="L10" s="23" t="n">
        <f aca="false">IF(AND(L$5&gt;=$C10,L$5&lt;=$E10),1,0)</f>
        <v>1</v>
      </c>
      <c r="M10" s="23" t="n">
        <f aca="false">IF(AND(M$5&gt;=$C10,M$5&lt;=$E10),1,0)</f>
        <v>1</v>
      </c>
      <c r="N10" s="23" t="n">
        <f aca="false">IF(AND(N$5&gt;=$C10,N$5&lt;=$E10),1,0)</f>
        <v>0</v>
      </c>
      <c r="O10" s="23" t="n">
        <f aca="false">IF(AND(O$5&gt;=$C10,O$5&lt;=$E10),1,0)</f>
        <v>0</v>
      </c>
      <c r="P10" s="23" t="n">
        <f aca="false">IF(AND(P$5&gt;=$C10,P$5&lt;=$E10),1,0)</f>
        <v>0</v>
      </c>
      <c r="Q10" s="23" t="n">
        <f aca="false">IF(AND(Q$5&gt;=$C10,Q$5&lt;=$E10),1,0)</f>
        <v>0</v>
      </c>
      <c r="R10" s="23" t="n">
        <f aca="false">IF(AND(R$5&gt;=$C10,R$5&lt;=$E10),1,0)</f>
        <v>0</v>
      </c>
      <c r="S10" s="23" t="n">
        <f aca="false">IF(AND(S$5&gt;=$C10,S$5&lt;=$E10),1,0)</f>
        <v>0</v>
      </c>
      <c r="T10" s="23" t="n">
        <f aca="false">IF(AND(T$5&gt;=$C10,T$5&lt;=$E10),1,0)</f>
        <v>0</v>
      </c>
      <c r="U10" s="23" t="n">
        <f aca="false">IF(AND(U$5&gt;=$C10,U$5&lt;=$E10),1,0)</f>
        <v>0</v>
      </c>
      <c r="V10" s="23" t="n">
        <f aca="false">IF(AND(V$5&gt;=$C10,V$5&lt;=$E10),1,0)</f>
        <v>0</v>
      </c>
      <c r="W10" s="23" t="n">
        <f aca="false">IF(AND(W$5&gt;=$C10,W$5&lt;=$E10),1,0)</f>
        <v>0</v>
      </c>
      <c r="X10" s="23" t="n">
        <f aca="false">IF(AND(X$5&gt;=$C10,X$5&lt;=$E10),1,0)</f>
        <v>0</v>
      </c>
      <c r="Y10" s="23" t="n">
        <f aca="false">IF(AND(Y$5&gt;=$C10,Y$5&lt;=$E10),1,0)</f>
        <v>0</v>
      </c>
      <c r="Z10" s="23" t="n">
        <f aca="false">IF(AND(Z$5&gt;=$C10,Z$5&lt;=$E10),1,0)</f>
        <v>0</v>
      </c>
      <c r="AA10" s="23" t="n">
        <f aca="false">IF(AND(AA$5&gt;=$C10,AA$5&lt;=$E10),1,0)</f>
        <v>0</v>
      </c>
      <c r="AB10" s="23" t="n">
        <f aca="false">IF(AND(AB$5&gt;=$C10,AB$5&lt;=$E10),1,0)</f>
        <v>0</v>
      </c>
      <c r="AC10" s="23" t="n">
        <f aca="false">IF(AND(AC$5&gt;=$C10,AC$5&lt;=$E10),1,0)</f>
        <v>0</v>
      </c>
      <c r="AD10" s="23" t="n">
        <f aca="false">IF(AND(AD$5&gt;=$C10,AD$5&lt;=$E10),1,0)</f>
        <v>0</v>
      </c>
      <c r="AE10" s="23" t="n">
        <f aca="false">IF(AND(AE$5&gt;=$C10,AE$5&lt;=$E10),1,0)</f>
        <v>0</v>
      </c>
      <c r="AF10" s="23" t="n">
        <f aca="false">IF(AND(AF$5&gt;=$C10,AF$5&lt;=$E10),1,0)</f>
        <v>0</v>
      </c>
      <c r="AG10" s="23" t="n">
        <f aca="false">IF(AND(AG$5&gt;=$C10,AG$5&lt;=$E10),1,0)</f>
        <v>0</v>
      </c>
    </row>
    <row r="11" customFormat="false" ht="15" hidden="false" customHeight="false" outlineLevel="0" collapsed="false">
      <c r="A11" s="24" t="s">
        <v>18</v>
      </c>
      <c r="B11" s="25" t="s">
        <v>79</v>
      </c>
      <c r="C11" s="21" t="n">
        <v>5</v>
      </c>
      <c r="D11" s="21" t="n">
        <v>6</v>
      </c>
      <c r="E11" s="12" t="n">
        <f aca="false">C11+D11-1</f>
        <v>10</v>
      </c>
      <c r="F11" s="22" t="n">
        <f aca="false">$C$2+(C11-1)*7</f>
        <v>46265</v>
      </c>
      <c r="G11" s="22" t="n">
        <f aca="false">$C$2+(E11)*7-1</f>
        <v>46306</v>
      </c>
      <c r="H11" s="23" t="n">
        <f aca="false">IF(AND(H$5&gt;=$C11,H$5&lt;=$E11),1,0)</f>
        <v>0</v>
      </c>
      <c r="I11" s="23" t="n">
        <f aca="false">IF(AND(I$5&gt;=$C11,I$5&lt;=$E11),1,0)</f>
        <v>0</v>
      </c>
      <c r="J11" s="23" t="n">
        <f aca="false">IF(AND(J$5&gt;=$C11,J$5&lt;=$E11),1,0)</f>
        <v>0</v>
      </c>
      <c r="K11" s="23" t="n">
        <f aca="false">IF(AND(K$5&gt;=$C11,K$5&lt;=$E11),1,0)</f>
        <v>0</v>
      </c>
      <c r="L11" s="23" t="n">
        <f aca="false">IF(AND(L$5&gt;=$C11,L$5&lt;=$E11),1,0)</f>
        <v>1</v>
      </c>
      <c r="M11" s="23" t="n">
        <f aca="false">IF(AND(M$5&gt;=$C11,M$5&lt;=$E11),1,0)</f>
        <v>1</v>
      </c>
      <c r="N11" s="23" t="n">
        <f aca="false">IF(AND(N$5&gt;=$C11,N$5&lt;=$E11),1,0)</f>
        <v>1</v>
      </c>
      <c r="O11" s="23" t="n">
        <f aca="false">IF(AND(O$5&gt;=$C11,O$5&lt;=$E11),1,0)</f>
        <v>1</v>
      </c>
      <c r="P11" s="23" t="n">
        <f aca="false">IF(AND(P$5&gt;=$C11,P$5&lt;=$E11),1,0)</f>
        <v>1</v>
      </c>
      <c r="Q11" s="23" t="n">
        <f aca="false">IF(AND(Q$5&gt;=$C11,Q$5&lt;=$E11),1,0)</f>
        <v>1</v>
      </c>
      <c r="R11" s="23" t="n">
        <f aca="false">IF(AND(R$5&gt;=$C11,R$5&lt;=$E11),1,0)</f>
        <v>0</v>
      </c>
      <c r="S11" s="23" t="n">
        <f aca="false">IF(AND(S$5&gt;=$C11,S$5&lt;=$E11),1,0)</f>
        <v>0</v>
      </c>
      <c r="T11" s="23" t="n">
        <f aca="false">IF(AND(T$5&gt;=$C11,T$5&lt;=$E11),1,0)</f>
        <v>0</v>
      </c>
      <c r="U11" s="23" t="n">
        <f aca="false">IF(AND(U$5&gt;=$C11,U$5&lt;=$E11),1,0)</f>
        <v>0</v>
      </c>
      <c r="V11" s="23" t="n">
        <f aca="false">IF(AND(V$5&gt;=$C11,V$5&lt;=$E11),1,0)</f>
        <v>0</v>
      </c>
      <c r="W11" s="23" t="n">
        <f aca="false">IF(AND(W$5&gt;=$C11,W$5&lt;=$E11),1,0)</f>
        <v>0</v>
      </c>
      <c r="X11" s="23" t="n">
        <f aca="false">IF(AND(X$5&gt;=$C11,X$5&lt;=$E11),1,0)</f>
        <v>0</v>
      </c>
      <c r="Y11" s="23" t="n">
        <f aca="false">IF(AND(Y$5&gt;=$C11,Y$5&lt;=$E11),1,0)</f>
        <v>0</v>
      </c>
      <c r="Z11" s="23" t="n">
        <f aca="false">IF(AND(Z$5&gt;=$C11,Z$5&lt;=$E11),1,0)</f>
        <v>0</v>
      </c>
      <c r="AA11" s="23" t="n">
        <f aca="false">IF(AND(AA$5&gt;=$C11,AA$5&lt;=$E11),1,0)</f>
        <v>0</v>
      </c>
      <c r="AB11" s="23" t="n">
        <f aca="false">IF(AND(AB$5&gt;=$C11,AB$5&lt;=$E11),1,0)</f>
        <v>0</v>
      </c>
      <c r="AC11" s="23" t="n">
        <f aca="false">IF(AND(AC$5&gt;=$C11,AC$5&lt;=$E11),1,0)</f>
        <v>0</v>
      </c>
      <c r="AD11" s="23" t="n">
        <f aca="false">IF(AND(AD$5&gt;=$C11,AD$5&lt;=$E11),1,0)</f>
        <v>0</v>
      </c>
      <c r="AE11" s="23" t="n">
        <f aca="false">IF(AND(AE$5&gt;=$C11,AE$5&lt;=$E11),1,0)</f>
        <v>0</v>
      </c>
      <c r="AF11" s="23" t="n">
        <f aca="false">IF(AND(AF$5&gt;=$C11,AF$5&lt;=$E11),1,0)</f>
        <v>0</v>
      </c>
      <c r="AG11" s="23" t="n">
        <f aca="false">IF(AND(AG$5&gt;=$C11,AG$5&lt;=$E11),1,0)</f>
        <v>0</v>
      </c>
    </row>
    <row r="12" customFormat="false" ht="15" hidden="false" customHeight="false" outlineLevel="0" collapsed="false">
      <c r="A12" s="24" t="s">
        <v>18</v>
      </c>
      <c r="B12" s="20" t="s">
        <v>24</v>
      </c>
      <c r="C12" s="21" t="n">
        <v>6</v>
      </c>
      <c r="D12" s="21" t="n">
        <v>6</v>
      </c>
      <c r="E12" s="12" t="n">
        <f aca="false">C12+D12-1</f>
        <v>11</v>
      </c>
      <c r="F12" s="22" t="n">
        <f aca="false">$C$2+(C12-1)*7</f>
        <v>46272</v>
      </c>
      <c r="G12" s="22" t="n">
        <f aca="false">$C$2+(E12)*7-1</f>
        <v>46313</v>
      </c>
      <c r="H12" s="23" t="n">
        <f aca="false">IF(AND(H$5&gt;=$C12,H$5&lt;=$E12),1,0)</f>
        <v>0</v>
      </c>
      <c r="I12" s="23" t="n">
        <f aca="false">IF(AND(I$5&gt;=$C12,I$5&lt;=$E12),1,0)</f>
        <v>0</v>
      </c>
      <c r="J12" s="23" t="n">
        <f aca="false">IF(AND(J$5&gt;=$C12,J$5&lt;=$E12),1,0)</f>
        <v>0</v>
      </c>
      <c r="K12" s="23" t="n">
        <f aca="false">IF(AND(K$5&gt;=$C12,K$5&lt;=$E12),1,0)</f>
        <v>0</v>
      </c>
      <c r="L12" s="23" t="n">
        <f aca="false">IF(AND(L$5&gt;=$C12,L$5&lt;=$E12),1,0)</f>
        <v>0</v>
      </c>
      <c r="M12" s="23" t="n">
        <f aca="false">IF(AND(M$5&gt;=$C12,M$5&lt;=$E12),1,0)</f>
        <v>1</v>
      </c>
      <c r="N12" s="23" t="n">
        <f aca="false">IF(AND(N$5&gt;=$C12,N$5&lt;=$E12),1,0)</f>
        <v>1</v>
      </c>
      <c r="O12" s="23" t="n">
        <f aca="false">IF(AND(O$5&gt;=$C12,O$5&lt;=$E12),1,0)</f>
        <v>1</v>
      </c>
      <c r="P12" s="23" t="n">
        <f aca="false">IF(AND(P$5&gt;=$C12,P$5&lt;=$E12),1,0)</f>
        <v>1</v>
      </c>
      <c r="Q12" s="23" t="n">
        <f aca="false">IF(AND(Q$5&gt;=$C12,Q$5&lt;=$E12),1,0)</f>
        <v>1</v>
      </c>
      <c r="R12" s="23" t="n">
        <f aca="false">IF(AND(R$5&gt;=$C12,R$5&lt;=$E12),1,0)</f>
        <v>1</v>
      </c>
      <c r="S12" s="23" t="n">
        <f aca="false">IF(AND(S$5&gt;=$C12,S$5&lt;=$E12),1,0)</f>
        <v>0</v>
      </c>
      <c r="T12" s="23" t="n">
        <f aca="false">IF(AND(T$5&gt;=$C12,T$5&lt;=$E12),1,0)</f>
        <v>0</v>
      </c>
      <c r="U12" s="23" t="n">
        <f aca="false">IF(AND(U$5&gt;=$C12,U$5&lt;=$E12),1,0)</f>
        <v>0</v>
      </c>
      <c r="V12" s="23" t="n">
        <f aca="false">IF(AND(V$5&gt;=$C12,V$5&lt;=$E12),1,0)</f>
        <v>0</v>
      </c>
      <c r="W12" s="23" t="n">
        <f aca="false">IF(AND(W$5&gt;=$C12,W$5&lt;=$E12),1,0)</f>
        <v>0</v>
      </c>
      <c r="X12" s="23" t="n">
        <f aca="false">IF(AND(X$5&gt;=$C12,X$5&lt;=$E12),1,0)</f>
        <v>0</v>
      </c>
      <c r="Y12" s="23" t="n">
        <f aca="false">IF(AND(Y$5&gt;=$C12,Y$5&lt;=$E12),1,0)</f>
        <v>0</v>
      </c>
      <c r="Z12" s="23" t="n">
        <f aca="false">IF(AND(Z$5&gt;=$C12,Z$5&lt;=$E12),1,0)</f>
        <v>0</v>
      </c>
      <c r="AA12" s="23" t="n">
        <f aca="false">IF(AND(AA$5&gt;=$C12,AA$5&lt;=$E12),1,0)</f>
        <v>0</v>
      </c>
      <c r="AB12" s="23" t="n">
        <f aca="false">IF(AND(AB$5&gt;=$C12,AB$5&lt;=$E12),1,0)</f>
        <v>0</v>
      </c>
      <c r="AC12" s="23" t="n">
        <f aca="false">IF(AND(AC$5&gt;=$C12,AC$5&lt;=$E12),1,0)</f>
        <v>0</v>
      </c>
      <c r="AD12" s="23" t="n">
        <f aca="false">IF(AND(AD$5&gt;=$C12,AD$5&lt;=$E12),1,0)</f>
        <v>0</v>
      </c>
      <c r="AE12" s="23" t="n">
        <f aca="false">IF(AND(AE$5&gt;=$C12,AE$5&lt;=$E12),1,0)</f>
        <v>0</v>
      </c>
      <c r="AF12" s="23" t="n">
        <f aca="false">IF(AND(AF$5&gt;=$C12,AF$5&lt;=$E12),1,0)</f>
        <v>0</v>
      </c>
      <c r="AG12" s="23" t="n">
        <f aca="false">IF(AND(AG$5&gt;=$C12,AG$5&lt;=$E12),1,0)</f>
        <v>0</v>
      </c>
    </row>
    <row r="13" customFormat="false" ht="15" hidden="false" customHeight="false" outlineLevel="0" collapsed="false">
      <c r="A13" s="24" t="s">
        <v>18</v>
      </c>
      <c r="B13" s="20" t="s">
        <v>80</v>
      </c>
      <c r="C13" s="21" t="n">
        <v>7</v>
      </c>
      <c r="D13" s="21" t="n">
        <v>6</v>
      </c>
      <c r="E13" s="12" t="n">
        <f aca="false">C13+D13-1</f>
        <v>12</v>
      </c>
      <c r="F13" s="22" t="n">
        <f aca="false">$C$2+(C13-1)*7</f>
        <v>46279</v>
      </c>
      <c r="G13" s="22" t="n">
        <f aca="false">$C$2+(E13)*7-1</f>
        <v>46320</v>
      </c>
      <c r="H13" s="23" t="n">
        <f aca="false">IF(AND(H$5&gt;=$C13,H$5&lt;=$E13),1,0)</f>
        <v>0</v>
      </c>
      <c r="I13" s="23" t="n">
        <f aca="false">IF(AND(I$5&gt;=$C13,I$5&lt;=$E13),1,0)</f>
        <v>0</v>
      </c>
      <c r="J13" s="23" t="n">
        <f aca="false">IF(AND(J$5&gt;=$C13,J$5&lt;=$E13),1,0)</f>
        <v>0</v>
      </c>
      <c r="K13" s="23" t="n">
        <f aca="false">IF(AND(K$5&gt;=$C13,K$5&lt;=$E13),1,0)</f>
        <v>0</v>
      </c>
      <c r="L13" s="23" t="n">
        <f aca="false">IF(AND(L$5&gt;=$C13,L$5&lt;=$E13),1,0)</f>
        <v>0</v>
      </c>
      <c r="M13" s="23" t="n">
        <f aca="false">IF(AND(M$5&gt;=$C13,M$5&lt;=$E13),1,0)</f>
        <v>0</v>
      </c>
      <c r="N13" s="23" t="n">
        <f aca="false">IF(AND(N$5&gt;=$C13,N$5&lt;=$E13),1,0)</f>
        <v>1</v>
      </c>
      <c r="O13" s="23" t="n">
        <f aca="false">IF(AND(O$5&gt;=$C13,O$5&lt;=$E13),1,0)</f>
        <v>1</v>
      </c>
      <c r="P13" s="23" t="n">
        <f aca="false">IF(AND(P$5&gt;=$C13,P$5&lt;=$E13),1,0)</f>
        <v>1</v>
      </c>
      <c r="Q13" s="23" t="n">
        <f aca="false">IF(AND(Q$5&gt;=$C13,Q$5&lt;=$E13),1,0)</f>
        <v>1</v>
      </c>
      <c r="R13" s="23" t="n">
        <f aca="false">IF(AND(R$5&gt;=$C13,R$5&lt;=$E13),1,0)</f>
        <v>1</v>
      </c>
      <c r="S13" s="23" t="n">
        <f aca="false">IF(AND(S$5&gt;=$C13,S$5&lt;=$E13),1,0)</f>
        <v>1</v>
      </c>
      <c r="T13" s="23" t="n">
        <f aca="false">IF(AND(T$5&gt;=$C13,T$5&lt;=$E13),1,0)</f>
        <v>0</v>
      </c>
      <c r="U13" s="23" t="n">
        <f aca="false">IF(AND(U$5&gt;=$C13,U$5&lt;=$E13),1,0)</f>
        <v>0</v>
      </c>
      <c r="V13" s="23" t="n">
        <f aca="false">IF(AND(V$5&gt;=$C13,V$5&lt;=$E13),1,0)</f>
        <v>0</v>
      </c>
      <c r="W13" s="23" t="n">
        <f aca="false">IF(AND(W$5&gt;=$C13,W$5&lt;=$E13),1,0)</f>
        <v>0</v>
      </c>
      <c r="X13" s="23" t="n">
        <f aca="false">IF(AND(X$5&gt;=$C13,X$5&lt;=$E13),1,0)</f>
        <v>0</v>
      </c>
      <c r="Y13" s="23" t="n">
        <f aca="false">IF(AND(Y$5&gt;=$C13,Y$5&lt;=$E13),1,0)</f>
        <v>0</v>
      </c>
      <c r="Z13" s="23" t="n">
        <f aca="false">IF(AND(Z$5&gt;=$C13,Z$5&lt;=$E13),1,0)</f>
        <v>0</v>
      </c>
      <c r="AA13" s="23" t="n">
        <f aca="false">IF(AND(AA$5&gt;=$C13,AA$5&lt;=$E13),1,0)</f>
        <v>0</v>
      </c>
      <c r="AB13" s="23" t="n">
        <f aca="false">IF(AND(AB$5&gt;=$C13,AB$5&lt;=$E13),1,0)</f>
        <v>0</v>
      </c>
      <c r="AC13" s="23" t="n">
        <f aca="false">IF(AND(AC$5&gt;=$C13,AC$5&lt;=$E13),1,0)</f>
        <v>0</v>
      </c>
      <c r="AD13" s="23" t="n">
        <f aca="false">IF(AND(AD$5&gt;=$C13,AD$5&lt;=$E13),1,0)</f>
        <v>0</v>
      </c>
      <c r="AE13" s="23" t="n">
        <f aca="false">IF(AND(AE$5&gt;=$C13,AE$5&lt;=$E13),1,0)</f>
        <v>0</v>
      </c>
      <c r="AF13" s="23" t="n">
        <f aca="false">IF(AND(AF$5&gt;=$C13,AF$5&lt;=$E13),1,0)</f>
        <v>0</v>
      </c>
      <c r="AG13" s="23" t="n">
        <f aca="false">IF(AND(AG$5&gt;=$C13,AG$5&lt;=$E13),1,0)</f>
        <v>0</v>
      </c>
    </row>
    <row r="14" customFormat="false" ht="15" hidden="false" customHeight="false" outlineLevel="0" collapsed="false">
      <c r="A14" s="24" t="s">
        <v>18</v>
      </c>
      <c r="B14" s="20" t="s">
        <v>81</v>
      </c>
      <c r="C14" s="21" t="n">
        <v>8</v>
      </c>
      <c r="D14" s="21" t="n">
        <v>5</v>
      </c>
      <c r="E14" s="12" t="n">
        <f aca="false">C14+D14-1</f>
        <v>12</v>
      </c>
      <c r="F14" s="22" t="n">
        <f aca="false">$C$2+(C14-1)*7</f>
        <v>46286</v>
      </c>
      <c r="G14" s="22" t="n">
        <f aca="false">$C$2+(E14)*7-1</f>
        <v>46320</v>
      </c>
      <c r="H14" s="23" t="n">
        <f aca="false">IF(AND(H$5&gt;=$C14,H$5&lt;=$E14),1,0)</f>
        <v>0</v>
      </c>
      <c r="I14" s="23" t="n">
        <f aca="false">IF(AND(I$5&gt;=$C14,I$5&lt;=$E14),1,0)</f>
        <v>0</v>
      </c>
      <c r="J14" s="23" t="n">
        <f aca="false">IF(AND(J$5&gt;=$C14,J$5&lt;=$E14),1,0)</f>
        <v>0</v>
      </c>
      <c r="K14" s="23" t="n">
        <f aca="false">IF(AND(K$5&gt;=$C14,K$5&lt;=$E14),1,0)</f>
        <v>0</v>
      </c>
      <c r="L14" s="23" t="n">
        <f aca="false">IF(AND(L$5&gt;=$C14,L$5&lt;=$E14),1,0)</f>
        <v>0</v>
      </c>
      <c r="M14" s="23" t="n">
        <f aca="false">IF(AND(M$5&gt;=$C14,M$5&lt;=$E14),1,0)</f>
        <v>0</v>
      </c>
      <c r="N14" s="23" t="n">
        <f aca="false">IF(AND(N$5&gt;=$C14,N$5&lt;=$E14),1,0)</f>
        <v>0</v>
      </c>
      <c r="O14" s="23" t="n">
        <f aca="false">IF(AND(O$5&gt;=$C14,O$5&lt;=$E14),1,0)</f>
        <v>1</v>
      </c>
      <c r="P14" s="23" t="n">
        <f aca="false">IF(AND(P$5&gt;=$C14,P$5&lt;=$E14),1,0)</f>
        <v>1</v>
      </c>
      <c r="Q14" s="23" t="n">
        <f aca="false">IF(AND(Q$5&gt;=$C14,Q$5&lt;=$E14),1,0)</f>
        <v>1</v>
      </c>
      <c r="R14" s="23" t="n">
        <f aca="false">IF(AND(R$5&gt;=$C14,R$5&lt;=$E14),1,0)</f>
        <v>1</v>
      </c>
      <c r="S14" s="23" t="n">
        <f aca="false">IF(AND(S$5&gt;=$C14,S$5&lt;=$E14),1,0)</f>
        <v>1</v>
      </c>
      <c r="T14" s="23" t="n">
        <f aca="false">IF(AND(T$5&gt;=$C14,T$5&lt;=$E14),1,0)</f>
        <v>0</v>
      </c>
      <c r="U14" s="23" t="n">
        <f aca="false">IF(AND(U$5&gt;=$C14,U$5&lt;=$E14),1,0)</f>
        <v>0</v>
      </c>
      <c r="V14" s="23" t="n">
        <f aca="false">IF(AND(V$5&gt;=$C14,V$5&lt;=$E14),1,0)</f>
        <v>0</v>
      </c>
      <c r="W14" s="23" t="n">
        <f aca="false">IF(AND(W$5&gt;=$C14,W$5&lt;=$E14),1,0)</f>
        <v>0</v>
      </c>
      <c r="X14" s="23" t="n">
        <f aca="false">IF(AND(X$5&gt;=$C14,X$5&lt;=$E14),1,0)</f>
        <v>0</v>
      </c>
      <c r="Y14" s="23" t="n">
        <f aca="false">IF(AND(Y$5&gt;=$C14,Y$5&lt;=$E14),1,0)</f>
        <v>0</v>
      </c>
      <c r="Z14" s="23" t="n">
        <f aca="false">IF(AND(Z$5&gt;=$C14,Z$5&lt;=$E14),1,0)</f>
        <v>0</v>
      </c>
      <c r="AA14" s="23" t="n">
        <f aca="false">IF(AND(AA$5&gt;=$C14,AA$5&lt;=$E14),1,0)</f>
        <v>0</v>
      </c>
      <c r="AB14" s="23" t="n">
        <f aca="false">IF(AND(AB$5&gt;=$C14,AB$5&lt;=$E14),1,0)</f>
        <v>0</v>
      </c>
      <c r="AC14" s="23" t="n">
        <f aca="false">IF(AND(AC$5&gt;=$C14,AC$5&lt;=$E14),1,0)</f>
        <v>0</v>
      </c>
      <c r="AD14" s="23" t="n">
        <f aca="false">IF(AND(AD$5&gt;=$C14,AD$5&lt;=$E14),1,0)</f>
        <v>0</v>
      </c>
      <c r="AE14" s="23" t="n">
        <f aca="false">IF(AND(AE$5&gt;=$C14,AE$5&lt;=$E14),1,0)</f>
        <v>0</v>
      </c>
      <c r="AF14" s="23" t="n">
        <f aca="false">IF(AND(AF$5&gt;=$C14,AF$5&lt;=$E14),1,0)</f>
        <v>0</v>
      </c>
      <c r="AG14" s="23" t="n">
        <f aca="false">IF(AND(AG$5&gt;=$C14,AG$5&lt;=$E14),1,0)</f>
        <v>0</v>
      </c>
    </row>
    <row r="15" customFormat="false" ht="15" hidden="false" customHeight="false" outlineLevel="0" collapsed="false">
      <c r="A15" s="24" t="s">
        <v>18</v>
      </c>
      <c r="B15" s="20" t="s">
        <v>82</v>
      </c>
      <c r="C15" s="21" t="n">
        <v>9</v>
      </c>
      <c r="D15" s="21" t="n">
        <v>5</v>
      </c>
      <c r="E15" s="12" t="n">
        <f aca="false">C15+D15-1</f>
        <v>13</v>
      </c>
      <c r="F15" s="22" t="n">
        <f aca="false">$C$2+(C15-1)*7</f>
        <v>46293</v>
      </c>
      <c r="G15" s="22" t="n">
        <f aca="false">$C$2+(E15)*7-1</f>
        <v>46327</v>
      </c>
      <c r="H15" s="23" t="n">
        <f aca="false">IF(AND(H$5&gt;=$C15,H$5&lt;=$E15),1,0)</f>
        <v>0</v>
      </c>
      <c r="I15" s="23" t="n">
        <f aca="false">IF(AND(I$5&gt;=$C15,I$5&lt;=$E15),1,0)</f>
        <v>0</v>
      </c>
      <c r="J15" s="23" t="n">
        <f aca="false">IF(AND(J$5&gt;=$C15,J$5&lt;=$E15),1,0)</f>
        <v>0</v>
      </c>
      <c r="K15" s="23" t="n">
        <f aca="false">IF(AND(K$5&gt;=$C15,K$5&lt;=$E15),1,0)</f>
        <v>0</v>
      </c>
      <c r="L15" s="23" t="n">
        <f aca="false">IF(AND(L$5&gt;=$C15,L$5&lt;=$E15),1,0)</f>
        <v>0</v>
      </c>
      <c r="M15" s="23" t="n">
        <f aca="false">IF(AND(M$5&gt;=$C15,M$5&lt;=$E15),1,0)</f>
        <v>0</v>
      </c>
      <c r="N15" s="23" t="n">
        <f aca="false">IF(AND(N$5&gt;=$C15,N$5&lt;=$E15),1,0)</f>
        <v>0</v>
      </c>
      <c r="O15" s="23" t="n">
        <f aca="false">IF(AND(O$5&gt;=$C15,O$5&lt;=$E15),1,0)</f>
        <v>0</v>
      </c>
      <c r="P15" s="23" t="n">
        <f aca="false">IF(AND(P$5&gt;=$C15,P$5&lt;=$E15),1,0)</f>
        <v>1</v>
      </c>
      <c r="Q15" s="23" t="n">
        <f aca="false">IF(AND(Q$5&gt;=$C15,Q$5&lt;=$E15),1,0)</f>
        <v>1</v>
      </c>
      <c r="R15" s="23" t="n">
        <f aca="false">IF(AND(R$5&gt;=$C15,R$5&lt;=$E15),1,0)</f>
        <v>1</v>
      </c>
      <c r="S15" s="23" t="n">
        <f aca="false">IF(AND(S$5&gt;=$C15,S$5&lt;=$E15),1,0)</f>
        <v>1</v>
      </c>
      <c r="T15" s="23" t="n">
        <f aca="false">IF(AND(T$5&gt;=$C15,T$5&lt;=$E15),1,0)</f>
        <v>1</v>
      </c>
      <c r="U15" s="23" t="n">
        <f aca="false">IF(AND(U$5&gt;=$C15,U$5&lt;=$E15),1,0)</f>
        <v>0</v>
      </c>
      <c r="V15" s="23" t="n">
        <f aca="false">IF(AND(V$5&gt;=$C15,V$5&lt;=$E15),1,0)</f>
        <v>0</v>
      </c>
      <c r="W15" s="23" t="n">
        <f aca="false">IF(AND(W$5&gt;=$C15,W$5&lt;=$E15),1,0)</f>
        <v>0</v>
      </c>
      <c r="X15" s="23" t="n">
        <f aca="false">IF(AND(X$5&gt;=$C15,X$5&lt;=$E15),1,0)</f>
        <v>0</v>
      </c>
      <c r="Y15" s="23" t="n">
        <f aca="false">IF(AND(Y$5&gt;=$C15,Y$5&lt;=$E15),1,0)</f>
        <v>0</v>
      </c>
      <c r="Z15" s="23" t="n">
        <f aca="false">IF(AND(Z$5&gt;=$C15,Z$5&lt;=$E15),1,0)</f>
        <v>0</v>
      </c>
      <c r="AA15" s="23" t="n">
        <f aca="false">IF(AND(AA$5&gt;=$C15,AA$5&lt;=$E15),1,0)</f>
        <v>0</v>
      </c>
      <c r="AB15" s="23" t="n">
        <f aca="false">IF(AND(AB$5&gt;=$C15,AB$5&lt;=$E15),1,0)</f>
        <v>0</v>
      </c>
      <c r="AC15" s="23" t="n">
        <f aca="false">IF(AND(AC$5&gt;=$C15,AC$5&lt;=$E15),1,0)</f>
        <v>0</v>
      </c>
      <c r="AD15" s="23" t="n">
        <f aca="false">IF(AND(AD$5&gt;=$C15,AD$5&lt;=$E15),1,0)</f>
        <v>0</v>
      </c>
      <c r="AE15" s="23" t="n">
        <f aca="false">IF(AND(AE$5&gt;=$C15,AE$5&lt;=$E15),1,0)</f>
        <v>0</v>
      </c>
      <c r="AF15" s="23" t="n">
        <f aca="false">IF(AND(AF$5&gt;=$C15,AF$5&lt;=$E15),1,0)</f>
        <v>0</v>
      </c>
      <c r="AG15" s="23" t="n">
        <f aca="false">IF(AND(AG$5&gt;=$C15,AG$5&lt;=$E15),1,0)</f>
        <v>0</v>
      </c>
    </row>
    <row r="16" customFormat="false" ht="15" hidden="false" customHeight="false" outlineLevel="0" collapsed="false">
      <c r="A16" s="26" t="s">
        <v>30</v>
      </c>
      <c r="B16" s="20" t="s">
        <v>31</v>
      </c>
      <c r="C16" s="21" t="n">
        <v>13</v>
      </c>
      <c r="D16" s="21" t="n">
        <v>8</v>
      </c>
      <c r="E16" s="12" t="n">
        <f aca="false">C16+D16-1</f>
        <v>20</v>
      </c>
      <c r="F16" s="22" t="n">
        <f aca="false">$C$2+(C16-1)*7</f>
        <v>46321</v>
      </c>
      <c r="G16" s="22" t="n">
        <f aca="false">$C$2+(E16)*7-1</f>
        <v>46376</v>
      </c>
      <c r="H16" s="23" t="n">
        <f aca="false">IF(AND(H$5&gt;=$C16,H$5&lt;=$E16),1,0)</f>
        <v>0</v>
      </c>
      <c r="I16" s="23" t="n">
        <f aca="false">IF(AND(I$5&gt;=$C16,I$5&lt;=$E16),1,0)</f>
        <v>0</v>
      </c>
      <c r="J16" s="23" t="n">
        <f aca="false">IF(AND(J$5&gt;=$C16,J$5&lt;=$E16),1,0)</f>
        <v>0</v>
      </c>
      <c r="K16" s="23" t="n">
        <f aca="false">IF(AND(K$5&gt;=$C16,K$5&lt;=$E16),1,0)</f>
        <v>0</v>
      </c>
      <c r="L16" s="23" t="n">
        <f aca="false">IF(AND(L$5&gt;=$C16,L$5&lt;=$E16),1,0)</f>
        <v>0</v>
      </c>
      <c r="M16" s="23" t="n">
        <f aca="false">IF(AND(M$5&gt;=$C16,M$5&lt;=$E16),1,0)</f>
        <v>0</v>
      </c>
      <c r="N16" s="23" t="n">
        <f aca="false">IF(AND(N$5&gt;=$C16,N$5&lt;=$E16),1,0)</f>
        <v>0</v>
      </c>
      <c r="O16" s="23" t="n">
        <f aca="false">IF(AND(O$5&gt;=$C16,O$5&lt;=$E16),1,0)</f>
        <v>0</v>
      </c>
      <c r="P16" s="23" t="n">
        <f aca="false">IF(AND(P$5&gt;=$C16,P$5&lt;=$E16),1,0)</f>
        <v>0</v>
      </c>
      <c r="Q16" s="23" t="n">
        <f aca="false">IF(AND(Q$5&gt;=$C16,Q$5&lt;=$E16),1,0)</f>
        <v>0</v>
      </c>
      <c r="R16" s="23" t="n">
        <f aca="false">IF(AND(R$5&gt;=$C16,R$5&lt;=$E16),1,0)</f>
        <v>0</v>
      </c>
      <c r="S16" s="23" t="n">
        <f aca="false">IF(AND(S$5&gt;=$C16,S$5&lt;=$E16),1,0)</f>
        <v>0</v>
      </c>
      <c r="T16" s="23" t="n">
        <f aca="false">IF(AND(T$5&gt;=$C16,T$5&lt;=$E16),1,0)</f>
        <v>1</v>
      </c>
      <c r="U16" s="23" t="n">
        <f aca="false">IF(AND(U$5&gt;=$C16,U$5&lt;=$E16),1,0)</f>
        <v>1</v>
      </c>
      <c r="V16" s="23" t="n">
        <f aca="false">IF(AND(V$5&gt;=$C16,V$5&lt;=$E16),1,0)</f>
        <v>1</v>
      </c>
      <c r="W16" s="23" t="n">
        <f aca="false">IF(AND(W$5&gt;=$C16,W$5&lt;=$E16),1,0)</f>
        <v>1</v>
      </c>
      <c r="X16" s="23" t="n">
        <f aca="false">IF(AND(X$5&gt;=$C16,X$5&lt;=$E16),1,0)</f>
        <v>1</v>
      </c>
      <c r="Y16" s="23" t="n">
        <f aca="false">IF(AND(Y$5&gt;=$C16,Y$5&lt;=$E16),1,0)</f>
        <v>1</v>
      </c>
      <c r="Z16" s="23" t="n">
        <f aca="false">IF(AND(Z$5&gt;=$C16,Z$5&lt;=$E16),1,0)</f>
        <v>1</v>
      </c>
      <c r="AA16" s="23" t="n">
        <f aca="false">IF(AND(AA$5&gt;=$C16,AA$5&lt;=$E16),1,0)</f>
        <v>1</v>
      </c>
      <c r="AB16" s="23" t="n">
        <f aca="false">IF(AND(AB$5&gt;=$C16,AB$5&lt;=$E16),1,0)</f>
        <v>0</v>
      </c>
      <c r="AC16" s="23" t="n">
        <f aca="false">IF(AND(AC$5&gt;=$C16,AC$5&lt;=$E16),1,0)</f>
        <v>0</v>
      </c>
      <c r="AD16" s="23" t="n">
        <f aca="false">IF(AND(AD$5&gt;=$C16,AD$5&lt;=$E16),1,0)</f>
        <v>0</v>
      </c>
      <c r="AE16" s="23" t="n">
        <f aca="false">IF(AND(AE$5&gt;=$C16,AE$5&lt;=$E16),1,0)</f>
        <v>0</v>
      </c>
      <c r="AF16" s="23" t="n">
        <f aca="false">IF(AND(AF$5&gt;=$C16,AF$5&lt;=$E16),1,0)</f>
        <v>0</v>
      </c>
      <c r="AG16" s="23" t="n">
        <f aca="false">IF(AND(AG$5&gt;=$C16,AG$5&lt;=$E16),1,0)</f>
        <v>0</v>
      </c>
    </row>
    <row r="17" customFormat="false" ht="28.35" hidden="false" customHeight="false" outlineLevel="0" collapsed="false">
      <c r="A17" s="26" t="s">
        <v>30</v>
      </c>
      <c r="B17" s="20" t="s">
        <v>83</v>
      </c>
      <c r="C17" s="21" t="n">
        <v>16</v>
      </c>
      <c r="D17" s="21" t="n">
        <v>7</v>
      </c>
      <c r="E17" s="12" t="n">
        <f aca="false">C17+D17-1</f>
        <v>22</v>
      </c>
      <c r="F17" s="22" t="n">
        <f aca="false">$C$2+(C17-1)*7</f>
        <v>46342</v>
      </c>
      <c r="G17" s="22" t="n">
        <f aca="false">$C$2+(E17)*7-1</f>
        <v>46390</v>
      </c>
      <c r="H17" s="23" t="n">
        <f aca="false">IF(AND(H$5&gt;=$C17,H$5&lt;=$E17),1,0)</f>
        <v>0</v>
      </c>
      <c r="I17" s="23" t="n">
        <f aca="false">IF(AND(I$5&gt;=$C17,I$5&lt;=$E17),1,0)</f>
        <v>0</v>
      </c>
      <c r="J17" s="23" t="n">
        <f aca="false">IF(AND(J$5&gt;=$C17,J$5&lt;=$E17),1,0)</f>
        <v>0</v>
      </c>
      <c r="K17" s="23" t="n">
        <f aca="false">IF(AND(K$5&gt;=$C17,K$5&lt;=$E17),1,0)</f>
        <v>0</v>
      </c>
      <c r="L17" s="23" t="n">
        <f aca="false">IF(AND(L$5&gt;=$C17,L$5&lt;=$E17),1,0)</f>
        <v>0</v>
      </c>
      <c r="M17" s="23" t="n">
        <f aca="false">IF(AND(M$5&gt;=$C17,M$5&lt;=$E17),1,0)</f>
        <v>0</v>
      </c>
      <c r="N17" s="23" t="n">
        <f aca="false">IF(AND(N$5&gt;=$C17,N$5&lt;=$E17),1,0)</f>
        <v>0</v>
      </c>
      <c r="O17" s="23" t="n">
        <f aca="false">IF(AND(O$5&gt;=$C17,O$5&lt;=$E17),1,0)</f>
        <v>0</v>
      </c>
      <c r="P17" s="23" t="n">
        <f aca="false">IF(AND(P$5&gt;=$C17,P$5&lt;=$E17),1,0)</f>
        <v>0</v>
      </c>
      <c r="Q17" s="23" t="n">
        <f aca="false">IF(AND(Q$5&gt;=$C17,Q$5&lt;=$E17),1,0)</f>
        <v>0</v>
      </c>
      <c r="R17" s="23" t="n">
        <f aca="false">IF(AND(R$5&gt;=$C17,R$5&lt;=$E17),1,0)</f>
        <v>0</v>
      </c>
      <c r="S17" s="23" t="n">
        <f aca="false">IF(AND(S$5&gt;=$C17,S$5&lt;=$E17),1,0)</f>
        <v>0</v>
      </c>
      <c r="T17" s="23" t="n">
        <f aca="false">IF(AND(T$5&gt;=$C17,T$5&lt;=$E17),1,0)</f>
        <v>0</v>
      </c>
      <c r="U17" s="23" t="n">
        <f aca="false">IF(AND(U$5&gt;=$C17,U$5&lt;=$E17),1,0)</f>
        <v>0</v>
      </c>
      <c r="V17" s="23" t="n">
        <f aca="false">IF(AND(V$5&gt;=$C17,V$5&lt;=$E17),1,0)</f>
        <v>0</v>
      </c>
      <c r="W17" s="23" t="n">
        <f aca="false">IF(AND(W$5&gt;=$C17,W$5&lt;=$E17),1,0)</f>
        <v>1</v>
      </c>
      <c r="X17" s="23" t="n">
        <f aca="false">IF(AND(X$5&gt;=$C17,X$5&lt;=$E17),1,0)</f>
        <v>1</v>
      </c>
      <c r="Y17" s="23" t="n">
        <f aca="false">IF(AND(Y$5&gt;=$C17,Y$5&lt;=$E17),1,0)</f>
        <v>1</v>
      </c>
      <c r="Z17" s="23" t="n">
        <f aca="false">IF(AND(Z$5&gt;=$C17,Z$5&lt;=$E17),1,0)</f>
        <v>1</v>
      </c>
      <c r="AA17" s="23" t="n">
        <f aca="false">IF(AND(AA$5&gt;=$C17,AA$5&lt;=$E17),1,0)</f>
        <v>1</v>
      </c>
      <c r="AB17" s="23" t="n">
        <f aca="false">IF(AND(AB$5&gt;=$C17,AB$5&lt;=$E17),1,0)</f>
        <v>1</v>
      </c>
      <c r="AC17" s="23" t="n">
        <f aca="false">IF(AND(AC$5&gt;=$C17,AC$5&lt;=$E17),1,0)</f>
        <v>1</v>
      </c>
      <c r="AD17" s="23" t="n">
        <f aca="false">IF(AND(AD$5&gt;=$C17,AD$5&lt;=$E17),1,0)</f>
        <v>0</v>
      </c>
      <c r="AE17" s="23" t="n">
        <f aca="false">IF(AND(AE$5&gt;=$C17,AE$5&lt;=$E17),1,0)</f>
        <v>0</v>
      </c>
      <c r="AF17" s="23" t="n">
        <f aca="false">IF(AND(AF$5&gt;=$C17,AF$5&lt;=$E17),1,0)</f>
        <v>0</v>
      </c>
      <c r="AG17" s="23" t="n">
        <f aca="false">IF(AND(AG$5&gt;=$C17,AG$5&lt;=$E17),1,0)</f>
        <v>0</v>
      </c>
    </row>
    <row r="18" customFormat="false" ht="15" hidden="false" customHeight="false" outlineLevel="0" collapsed="false">
      <c r="A18" s="26" t="s">
        <v>30</v>
      </c>
      <c r="B18" s="20" t="s">
        <v>84</v>
      </c>
      <c r="C18" s="21" t="n">
        <v>18</v>
      </c>
      <c r="D18" s="21" t="n">
        <v>7</v>
      </c>
      <c r="E18" s="12" t="n">
        <f aca="false">C18+D18-1</f>
        <v>24</v>
      </c>
      <c r="F18" s="22" t="n">
        <f aca="false">$C$2+(C18-1)*7</f>
        <v>46356</v>
      </c>
      <c r="G18" s="22" t="n">
        <f aca="false">$C$2+(E18)*7-1</f>
        <v>46404</v>
      </c>
      <c r="H18" s="23" t="n">
        <f aca="false">IF(AND(H$5&gt;=$C18,H$5&lt;=$E18),1,0)</f>
        <v>0</v>
      </c>
      <c r="I18" s="23" t="n">
        <f aca="false">IF(AND(I$5&gt;=$C18,I$5&lt;=$E18),1,0)</f>
        <v>0</v>
      </c>
      <c r="J18" s="23" t="n">
        <f aca="false">IF(AND(J$5&gt;=$C18,J$5&lt;=$E18),1,0)</f>
        <v>0</v>
      </c>
      <c r="K18" s="23" t="n">
        <f aca="false">IF(AND(K$5&gt;=$C18,K$5&lt;=$E18),1,0)</f>
        <v>0</v>
      </c>
      <c r="L18" s="23" t="n">
        <f aca="false">IF(AND(L$5&gt;=$C18,L$5&lt;=$E18),1,0)</f>
        <v>0</v>
      </c>
      <c r="M18" s="23" t="n">
        <f aca="false">IF(AND(M$5&gt;=$C18,M$5&lt;=$E18),1,0)</f>
        <v>0</v>
      </c>
      <c r="N18" s="23" t="n">
        <f aca="false">IF(AND(N$5&gt;=$C18,N$5&lt;=$E18),1,0)</f>
        <v>0</v>
      </c>
      <c r="O18" s="23" t="n">
        <f aca="false">IF(AND(O$5&gt;=$C18,O$5&lt;=$E18),1,0)</f>
        <v>0</v>
      </c>
      <c r="P18" s="23" t="n">
        <f aca="false">IF(AND(P$5&gt;=$C18,P$5&lt;=$E18),1,0)</f>
        <v>0</v>
      </c>
      <c r="Q18" s="23" t="n">
        <f aca="false">IF(AND(Q$5&gt;=$C18,Q$5&lt;=$E18),1,0)</f>
        <v>0</v>
      </c>
      <c r="R18" s="23" t="n">
        <f aca="false">IF(AND(R$5&gt;=$C18,R$5&lt;=$E18),1,0)</f>
        <v>0</v>
      </c>
      <c r="S18" s="23" t="n">
        <f aca="false">IF(AND(S$5&gt;=$C18,S$5&lt;=$E18),1,0)</f>
        <v>0</v>
      </c>
      <c r="T18" s="23" t="n">
        <f aca="false">IF(AND(T$5&gt;=$C18,T$5&lt;=$E18),1,0)</f>
        <v>0</v>
      </c>
      <c r="U18" s="23" t="n">
        <f aca="false">IF(AND(U$5&gt;=$C18,U$5&lt;=$E18),1,0)</f>
        <v>0</v>
      </c>
      <c r="V18" s="23" t="n">
        <f aca="false">IF(AND(V$5&gt;=$C18,V$5&lt;=$E18),1,0)</f>
        <v>0</v>
      </c>
      <c r="W18" s="23" t="n">
        <f aca="false">IF(AND(W$5&gt;=$C18,W$5&lt;=$E18),1,0)</f>
        <v>0</v>
      </c>
      <c r="X18" s="23" t="n">
        <f aca="false">IF(AND(X$5&gt;=$C18,X$5&lt;=$E18),1,0)</f>
        <v>0</v>
      </c>
      <c r="Y18" s="23" t="n">
        <f aca="false">IF(AND(Y$5&gt;=$C18,Y$5&lt;=$E18),1,0)</f>
        <v>1</v>
      </c>
      <c r="Z18" s="23" t="n">
        <f aca="false">IF(AND(Z$5&gt;=$C18,Z$5&lt;=$E18),1,0)</f>
        <v>1</v>
      </c>
      <c r="AA18" s="23" t="n">
        <f aca="false">IF(AND(AA$5&gt;=$C18,AA$5&lt;=$E18),1,0)</f>
        <v>1</v>
      </c>
      <c r="AB18" s="23" t="n">
        <f aca="false">IF(AND(AB$5&gt;=$C18,AB$5&lt;=$E18),1,0)</f>
        <v>1</v>
      </c>
      <c r="AC18" s="23" t="n">
        <f aca="false">IF(AND(AC$5&gt;=$C18,AC$5&lt;=$E18),1,0)</f>
        <v>1</v>
      </c>
      <c r="AD18" s="23" t="n">
        <f aca="false">IF(AND(AD$5&gt;=$C18,AD$5&lt;=$E18),1,0)</f>
        <v>1</v>
      </c>
      <c r="AE18" s="23" t="n">
        <f aca="false">IF(AND(AE$5&gt;=$C18,AE$5&lt;=$E18),1,0)</f>
        <v>1</v>
      </c>
      <c r="AF18" s="23" t="n">
        <f aca="false">IF(AND(AF$5&gt;=$C18,AF$5&lt;=$E18),1,0)</f>
        <v>0</v>
      </c>
      <c r="AG18" s="23" t="n">
        <f aca="false">IF(AND(AG$5&gt;=$C18,AG$5&lt;=$E18),1,0)</f>
        <v>0</v>
      </c>
    </row>
    <row r="20" customFormat="false" ht="15" hidden="false" customHeight="false" outlineLevel="0" collapsed="false">
      <c r="A20" s="14" t="s">
        <v>62</v>
      </c>
    </row>
    <row r="21" customFormat="false" ht="15" hidden="false" customHeight="false" outlineLevel="0" collapsed="false">
      <c r="A21" s="27" t="s">
        <v>85</v>
      </c>
    </row>
    <row r="22" customFormat="false" ht="15" hidden="false" customHeight="false" outlineLevel="0" collapsed="false">
      <c r="A22" s="28" t="s">
        <v>86</v>
      </c>
    </row>
    <row r="23" customFormat="false" ht="15" hidden="false" customHeight="false" outlineLevel="0" collapsed="false">
      <c r="A23" s="29" t="s">
        <v>87</v>
      </c>
    </row>
    <row r="25" customFormat="false" ht="15" hidden="false" customHeight="false" outlineLevel="0" collapsed="false">
      <c r="A25" s="2" t="s">
        <v>88</v>
      </c>
    </row>
  </sheetData>
  <conditionalFormatting sqref="H6:AG6">
    <cfRule type="cellIs" priority="2" operator="equal" aboveAverage="0" equalAverage="0" bottom="0" percent="0" rank="0" text="" dxfId="0">
      <formula>1</formula>
    </cfRule>
  </conditionalFormatting>
  <conditionalFormatting sqref="H7:AG7">
    <cfRule type="cellIs" priority="3" operator="equal" aboveAverage="0" equalAverage="0" bottom="0" percent="0" rank="0" text="" dxfId="0">
      <formula>1</formula>
    </cfRule>
  </conditionalFormatting>
  <conditionalFormatting sqref="H8:AG8">
    <cfRule type="cellIs" priority="4" operator="equal" aboveAverage="0" equalAverage="0" bottom="0" percent="0" rank="0" text="" dxfId="0">
      <formula>1</formula>
    </cfRule>
  </conditionalFormatting>
  <conditionalFormatting sqref="H9:AG9">
    <cfRule type="cellIs" priority="5" operator="equal" aboveAverage="0" equalAverage="0" bottom="0" percent="0" rank="0" text="" dxfId="0">
      <formula>1</formula>
    </cfRule>
  </conditionalFormatting>
  <conditionalFormatting sqref="H10:AG10">
    <cfRule type="cellIs" priority="6" operator="equal" aboveAverage="0" equalAverage="0" bottom="0" percent="0" rank="0" text="" dxfId="0">
      <formula>1</formula>
    </cfRule>
  </conditionalFormatting>
  <conditionalFormatting sqref="H11:AG11">
    <cfRule type="cellIs" priority="7" operator="equal" aboveAverage="0" equalAverage="0" bottom="0" percent="0" rank="0" text="" dxfId="1">
      <formula>1</formula>
    </cfRule>
  </conditionalFormatting>
  <conditionalFormatting sqref="H12:AG12">
    <cfRule type="cellIs" priority="8" operator="equal" aboveAverage="0" equalAverage="0" bottom="0" percent="0" rank="0" text="" dxfId="1">
      <formula>1</formula>
    </cfRule>
  </conditionalFormatting>
  <conditionalFormatting sqref="H13:AG13">
    <cfRule type="cellIs" priority="9" operator="equal" aboveAverage="0" equalAverage="0" bottom="0" percent="0" rank="0" text="" dxfId="1">
      <formula>1</formula>
    </cfRule>
  </conditionalFormatting>
  <conditionalFormatting sqref="H14:AG14">
    <cfRule type="cellIs" priority="10" operator="equal" aboveAverage="0" equalAverage="0" bottom="0" percent="0" rank="0" text="" dxfId="1">
      <formula>1</formula>
    </cfRule>
  </conditionalFormatting>
  <conditionalFormatting sqref="H15:AG15">
    <cfRule type="cellIs" priority="11" operator="equal" aboveAverage="0" equalAverage="0" bottom="0" percent="0" rank="0" text="" dxfId="1">
      <formula>1</formula>
    </cfRule>
  </conditionalFormatting>
  <conditionalFormatting sqref="H16:AG16">
    <cfRule type="cellIs" priority="12" operator="equal" aboveAverage="0" equalAverage="0" bottom="0" percent="0" rank="0" text="" dxfId="2">
      <formula>1</formula>
    </cfRule>
  </conditionalFormatting>
  <conditionalFormatting sqref="H17:AG17">
    <cfRule type="cellIs" priority="13" operator="equal" aboveAverage="0" equalAverage="0" bottom="0" percent="0" rank="0" text="" dxfId="2">
      <formula>1</formula>
    </cfRule>
  </conditionalFormatting>
  <conditionalFormatting sqref="H18:AG18">
    <cfRule type="cellIs" priority="14" operator="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2026-08-03T10:58:53Z</dcterms:created>
  <dc:creator>openpyxl</dc:creator>
  <dc:description/>
  <dc:language>en-US</dc:language>
  <cp:lastModifiedBy/>
  <dcterms:modified xsi:type="dcterms:W3CDTF">2026-08-03T10:58:53Z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